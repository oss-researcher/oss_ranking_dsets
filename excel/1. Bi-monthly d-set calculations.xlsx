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git\excel\"/>
    </mc:Choice>
  </mc:AlternateContent>
  <xr:revisionPtr revIDLastSave="0" documentId="13_ncr:1_{A52DB7DE-44AC-4708-95CB-F0DD21BD428E}" xr6:coauthVersionLast="47" xr6:coauthVersionMax="47" xr10:uidLastSave="{00000000-0000-0000-0000-000000000000}"/>
  <bookViews>
    <workbookView xWindow="-120" yWindow="-120" windowWidth="20730" windowHeight="1116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7" i="7" l="1"/>
  <c r="CJ4" i="7"/>
  <c r="CW4" i="7"/>
  <c r="BW24" i="7"/>
  <c r="BV24" i="7"/>
  <c r="BU24" i="7"/>
  <c r="BT24" i="7"/>
  <c r="BS24" i="7"/>
  <c r="CC38" i="7" s="1"/>
  <c r="BR24" i="7"/>
  <c r="BQ24" i="7"/>
  <c r="BP24" i="7"/>
  <c r="BU4" i="7"/>
  <c r="BT4" i="7"/>
  <c r="BS4" i="7"/>
  <c r="BR4" i="7"/>
  <c r="BQ4" i="7"/>
  <c r="BP4" i="7"/>
  <c r="V32" i="7"/>
  <c r="W32" i="7"/>
  <c r="X32" i="7"/>
  <c r="U32" i="7"/>
  <c r="U35" i="7" s="1"/>
  <c r="V22" i="7"/>
  <c r="CG38" i="7"/>
  <c r="CD38" i="7"/>
  <c r="CG37" i="7"/>
  <c r="CD37" i="7"/>
  <c r="CC37" i="7"/>
  <c r="CG36" i="7"/>
  <c r="CD36" i="7"/>
  <c r="CC36" i="7"/>
  <c r="CG35" i="7"/>
  <c r="CD35" i="7"/>
  <c r="CC35" i="7"/>
  <c r="CG34" i="7"/>
  <c r="CD34" i="7"/>
  <c r="CC34" i="7"/>
  <c r="CA34" i="7"/>
  <c r="CG33" i="7"/>
  <c r="CD33" i="7"/>
  <c r="CC33" i="7"/>
  <c r="CB33" i="7"/>
  <c r="CA33" i="7"/>
  <c r="CG32" i="7"/>
  <c r="CF32" i="7"/>
  <c r="CD32" i="7"/>
  <c r="CC32" i="7"/>
  <c r="CB32" i="7"/>
  <c r="CA32" i="7"/>
  <c r="BZ32" i="7"/>
  <c r="CG31" i="7"/>
  <c r="CF31" i="7"/>
  <c r="CD31" i="7"/>
  <c r="CC31" i="7"/>
  <c r="CB31" i="7"/>
  <c r="CA31" i="7"/>
  <c r="BZ31" i="7"/>
  <c r="CG30" i="7"/>
  <c r="CF30" i="7"/>
  <c r="CD30" i="7"/>
  <c r="CC30" i="7"/>
  <c r="CB30" i="7"/>
  <c r="CA30" i="7"/>
  <c r="BZ30" i="7"/>
  <c r="CG29" i="7"/>
  <c r="CF29" i="7"/>
  <c r="CE29" i="7"/>
  <c r="CD29" i="7"/>
  <c r="CC29" i="7"/>
  <c r="CB29" i="7"/>
  <c r="CA29" i="7"/>
  <c r="BZ29" i="7"/>
  <c r="X29" i="7"/>
  <c r="W29" i="7"/>
  <c r="V29" i="7"/>
  <c r="U29" i="7"/>
  <c r="CG28" i="7"/>
  <c r="CF28" i="7"/>
  <c r="CE28" i="7"/>
  <c r="CD28" i="7"/>
  <c r="CC28" i="7"/>
  <c r="CB28" i="7"/>
  <c r="CA28" i="7"/>
  <c r="BZ28" i="7"/>
  <c r="X28" i="7"/>
  <c r="W28" i="7"/>
  <c r="V28" i="7"/>
  <c r="U28" i="7"/>
  <c r="CG27" i="7"/>
  <c r="CF27" i="7"/>
  <c r="CE27" i="7"/>
  <c r="CD27" i="7"/>
  <c r="CC27" i="7"/>
  <c r="CB27" i="7"/>
  <c r="CA27" i="7"/>
  <c r="BZ27" i="7"/>
  <c r="X27" i="7"/>
  <c r="W27" i="7"/>
  <c r="V27" i="7"/>
  <c r="U27" i="7"/>
  <c r="CG26" i="7"/>
  <c r="CF26" i="7"/>
  <c r="CE26" i="7"/>
  <c r="CD26" i="7"/>
  <c r="CC26" i="7"/>
  <c r="CB26" i="7"/>
  <c r="CA26" i="7"/>
  <c r="BZ26" i="7"/>
  <c r="CG25" i="7"/>
  <c r="CF25" i="7"/>
  <c r="CE25" i="7"/>
  <c r="CD25" i="7"/>
  <c r="CC25" i="7"/>
  <c r="CB25" i="7"/>
  <c r="CA25" i="7"/>
  <c r="BZ25" i="7"/>
  <c r="CG24" i="7"/>
  <c r="CF24" i="7"/>
  <c r="CE24" i="7"/>
  <c r="CD24" i="7"/>
  <c r="CC24" i="7"/>
  <c r="CB24" i="7"/>
  <c r="CA24" i="7"/>
  <c r="BZ24" i="7"/>
  <c r="X24" i="7"/>
  <c r="W24" i="7"/>
  <c r="V24" i="7"/>
  <c r="U24" i="7"/>
  <c r="CG23" i="7"/>
  <c r="CF23" i="7"/>
  <c r="CE23" i="7"/>
  <c r="CD23" i="7"/>
  <c r="CC23" i="7"/>
  <c r="CB23" i="7"/>
  <c r="CA23" i="7"/>
  <c r="BZ23" i="7"/>
  <c r="X23" i="7"/>
  <c r="W23" i="7"/>
  <c r="V23" i="7"/>
  <c r="U23" i="7"/>
  <c r="X22" i="7"/>
  <c r="W22" i="7"/>
  <c r="U22" i="7"/>
  <c r="CG21" i="7"/>
  <c r="CF21" i="7"/>
  <c r="CD21" i="7"/>
  <c r="CC21" i="7"/>
  <c r="CG20" i="7"/>
  <c r="CF20" i="7"/>
  <c r="CD20" i="7"/>
  <c r="CC20" i="7"/>
  <c r="CG19" i="7"/>
  <c r="CF19" i="7"/>
  <c r="CD19" i="7"/>
  <c r="CC19" i="7"/>
  <c r="CG18" i="7"/>
  <c r="CF18" i="7"/>
  <c r="CD18" i="7"/>
  <c r="CC18" i="7"/>
  <c r="CB18" i="7"/>
  <c r="CG17" i="7"/>
  <c r="CF17" i="7"/>
  <c r="CE17" i="7"/>
  <c r="CD17" i="7"/>
  <c r="CC17" i="7"/>
  <c r="CB17" i="7"/>
  <c r="CG16" i="7"/>
  <c r="CF16" i="7"/>
  <c r="CE16" i="7"/>
  <c r="CD16" i="7"/>
  <c r="CC16" i="7"/>
  <c r="CB16" i="7"/>
  <c r="CA16" i="7"/>
  <c r="CG15" i="7"/>
  <c r="CF15" i="7"/>
  <c r="CE15" i="7"/>
  <c r="CD15" i="7"/>
  <c r="CC15" i="7"/>
  <c r="CB15" i="7"/>
  <c r="CA15" i="7"/>
  <c r="CG14" i="7"/>
  <c r="CF14" i="7"/>
  <c r="CE14" i="7"/>
  <c r="CD14" i="7"/>
  <c r="CC14" i="7"/>
  <c r="CB14" i="7"/>
  <c r="CA14" i="7"/>
  <c r="CG13" i="7"/>
  <c r="CF13" i="7"/>
  <c r="CE13" i="7"/>
  <c r="CD13" i="7"/>
  <c r="CC13" i="7"/>
  <c r="CB13" i="7"/>
  <c r="CA13" i="7"/>
  <c r="CG12" i="7"/>
  <c r="CF12" i="7"/>
  <c r="CE12" i="7"/>
  <c r="CD12" i="7"/>
  <c r="CC12" i="7"/>
  <c r="CB12" i="7"/>
  <c r="CA12" i="7"/>
  <c r="CG11" i="7"/>
  <c r="CF11" i="7"/>
  <c r="CE11" i="7"/>
  <c r="CD11" i="7"/>
  <c r="CC11" i="7"/>
  <c r="CB11" i="7"/>
  <c r="CA11" i="7"/>
  <c r="CG10" i="7"/>
  <c r="CF10" i="7"/>
  <c r="CE10" i="7"/>
  <c r="CD10" i="7"/>
  <c r="CC10" i="7"/>
  <c r="CB10" i="7"/>
  <c r="CA10" i="7"/>
  <c r="CG9" i="7"/>
  <c r="CF9" i="7"/>
  <c r="CE9" i="7"/>
  <c r="CD9" i="7"/>
  <c r="CC9" i="7"/>
  <c r="CB9" i="7"/>
  <c r="CA9" i="7"/>
  <c r="CG8" i="7"/>
  <c r="CF8" i="7"/>
  <c r="CE8" i="7"/>
  <c r="CD8" i="7"/>
  <c r="CC8" i="7"/>
  <c r="CB8" i="7"/>
  <c r="CA8" i="7"/>
  <c r="CG7" i="7"/>
  <c r="CF7" i="7"/>
  <c r="CE7" i="7"/>
  <c r="CD7" i="7"/>
  <c r="CC7" i="7"/>
  <c r="CB7" i="7"/>
  <c r="CA7" i="7"/>
  <c r="CG6" i="7"/>
  <c r="CF6" i="7"/>
  <c r="CE6" i="7"/>
  <c r="CD6" i="7"/>
  <c r="CC6" i="7"/>
  <c r="CB6" i="7"/>
  <c r="CA6" i="7"/>
  <c r="AJ5" i="7"/>
  <c r="AI5" i="7"/>
  <c r="AH5" i="7"/>
  <c r="AG5" i="7"/>
  <c r="AJ4" i="7"/>
  <c r="AI4" i="7"/>
  <c r="AH4" i="7"/>
  <c r="AG4" i="7"/>
  <c r="F17" i="6"/>
  <c r="CF38" i="7" l="1"/>
  <c r="CF35" i="7"/>
  <c r="CF37" i="7"/>
  <c r="CF36" i="7"/>
  <c r="CF34" i="7"/>
  <c r="CF33" i="7"/>
  <c r="CE38" i="7"/>
  <c r="CE35" i="7"/>
  <c r="CE33" i="7"/>
  <c r="CE32" i="7"/>
  <c r="CE30" i="7"/>
  <c r="CE37" i="7"/>
  <c r="CE36" i="7"/>
  <c r="CE34" i="7"/>
  <c r="CE31" i="7"/>
  <c r="CB37" i="7"/>
  <c r="CB35" i="7"/>
  <c r="CB34" i="7"/>
  <c r="CB38" i="7"/>
  <c r="CB36" i="7"/>
  <c r="CA38" i="7"/>
  <c r="CA36" i="7"/>
  <c r="CA37" i="7"/>
  <c r="CA35" i="7"/>
  <c r="BZ38" i="7"/>
  <c r="BZ37" i="7"/>
  <c r="BZ36" i="7"/>
  <c r="BZ35" i="7"/>
  <c r="BZ34" i="7"/>
  <c r="BZ33" i="7"/>
  <c r="CE21" i="7"/>
  <c r="CE20" i="7"/>
  <c r="CE19" i="7"/>
  <c r="CE18" i="7"/>
  <c r="CB21" i="7"/>
  <c r="CB20" i="7"/>
  <c r="CB19" i="7"/>
  <c r="CA20" i="7"/>
  <c r="CA19" i="7"/>
  <c r="CA18" i="7"/>
  <c r="CA17" i="7"/>
  <c r="CA21" i="7"/>
  <c r="BZ21" i="7"/>
  <c r="BZ20" i="7"/>
  <c r="BZ19" i="7"/>
  <c r="BZ18" i="7"/>
  <c r="BZ17" i="7"/>
  <c r="BZ16" i="7"/>
  <c r="BZ15" i="7"/>
  <c r="BZ14" i="7"/>
  <c r="BZ13" i="7"/>
  <c r="BZ12" i="7"/>
  <c r="BZ11" i="7"/>
  <c r="BZ10" i="7"/>
  <c r="BZ9" i="7"/>
  <c r="BZ8" i="7"/>
  <c r="BZ7" i="7"/>
  <c r="BZ6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X36" i="7"/>
  <c r="W36" i="7"/>
  <c r="V36" i="7"/>
  <c r="U36" i="7"/>
  <c r="X35" i="7" l="1"/>
  <c r="X38" i="7"/>
  <c r="X37" i="7"/>
  <c r="W37" i="7"/>
  <c r="W35" i="7"/>
  <c r="W38" i="7"/>
  <c r="V35" i="7"/>
  <c r="V37" i="7"/>
  <c r="V38" i="7"/>
  <c r="U37" i="7"/>
  <c r="U38" i="7"/>
  <c r="BL5" i="7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BL23" i="7" l="1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X40" i="7"/>
  <c r="W40" i="7"/>
  <c r="V40" i="7"/>
  <c r="U40" i="7"/>
  <c r="T41" i="7" s="1"/>
  <c r="CK14" i="7" l="1"/>
  <c r="CJ14" i="7"/>
  <c r="CL14" i="7"/>
  <c r="CM14" i="7"/>
  <c r="CJ15" i="7"/>
  <c r="CK15" i="7"/>
  <c r="CL15" i="7"/>
  <c r="CM15" i="7"/>
  <c r="CJ16" i="7"/>
  <c r="CK16" i="7"/>
  <c r="CL16" i="7"/>
  <c r="CM16" i="7"/>
  <c r="CK17" i="7"/>
  <c r="CL17" i="7"/>
  <c r="CM17" i="7"/>
  <c r="CJ18" i="7"/>
  <c r="CK18" i="7"/>
  <c r="CL18" i="7"/>
  <c r="CM18" i="7"/>
  <c r="CJ19" i="7"/>
  <c r="CK19" i="7"/>
  <c r="CL19" i="7"/>
  <c r="CM19" i="7"/>
  <c r="CK13" i="7"/>
  <c r="CL13" i="7"/>
  <c r="CM13" i="7"/>
  <c r="CJ13" i="7"/>
  <c r="CK12" i="7"/>
  <c r="CL12" i="7"/>
  <c r="CM12" i="7"/>
  <c r="CJ12" i="7"/>
  <c r="CJ11" i="7"/>
  <c r="CJ10" i="7"/>
  <c r="CK10" i="7"/>
  <c r="CL10" i="7"/>
  <c r="CM10" i="7"/>
  <c r="CK11" i="7"/>
  <c r="CL11" i="7"/>
  <c r="CM11" i="7"/>
  <c r="CK4" i="7"/>
  <c r="CJ5" i="7"/>
  <c r="CM5" i="7"/>
  <c r="CJ6" i="7"/>
  <c r="CL6" i="7"/>
  <c r="CK7" i="7"/>
  <c r="CJ8" i="7"/>
  <c r="CM8" i="7"/>
  <c r="CJ9" i="7"/>
  <c r="CM9" i="7"/>
  <c r="CL4" i="7"/>
  <c r="CL5" i="7"/>
  <c r="CM6" i="7"/>
  <c r="CJ7" i="7"/>
  <c r="CL7" i="7"/>
  <c r="CL8" i="7"/>
  <c r="CL9" i="7"/>
  <c r="CM4" i="7"/>
  <c r="CK5" i="7"/>
  <c r="CK6" i="7"/>
  <c r="CM7" i="7"/>
  <c r="CK8" i="7"/>
  <c r="CK9" i="7"/>
  <c r="CQ16" i="7" l="1"/>
  <c r="CQ18" i="7"/>
  <c r="CQ19" i="7"/>
  <c r="CP12" i="7"/>
  <c r="CQ12" i="7"/>
  <c r="CQ6" i="7"/>
  <c r="CP5" i="7"/>
  <c r="CP9" i="7"/>
  <c r="CP13" i="7"/>
  <c r="CP18" i="7"/>
  <c r="CP19" i="7"/>
  <c r="CQ5" i="7"/>
  <c r="CQ8" i="7"/>
  <c r="CQ9" i="7"/>
  <c r="CQ10" i="7"/>
  <c r="CQ13" i="7"/>
  <c r="CP14" i="7"/>
  <c r="CP4" i="7"/>
  <c r="CQ7" i="7"/>
  <c r="CQ15" i="7"/>
  <c r="CP11" i="7"/>
  <c r="CP15" i="7"/>
  <c r="CQ4" i="7"/>
  <c r="CP6" i="7"/>
  <c r="CP8" i="7"/>
  <c r="CP10" i="7"/>
  <c r="CQ11" i="7"/>
  <c r="CP16" i="7"/>
  <c r="CP17" i="7"/>
  <c r="CP7" i="7"/>
  <c r="CQ17" i="7"/>
  <c r="CQ14" i="7"/>
  <c r="CP21" i="7" l="1"/>
  <c r="CQ21" i="7"/>
  <c r="CR6" i="7" l="1"/>
  <c r="CR5" i="7"/>
  <c r="CS17" i="7"/>
  <c r="CR17" i="7"/>
  <c r="CS11" i="7"/>
  <c r="CR8" i="7"/>
  <c r="CS15" i="7"/>
  <c r="CS14" i="7"/>
  <c r="CR7" i="7"/>
  <c r="CR16" i="7"/>
  <c r="CR10" i="7"/>
  <c r="CR15" i="7"/>
  <c r="CR11" i="7"/>
  <c r="CS7" i="7"/>
  <c r="CS12" i="7"/>
  <c r="CS18" i="7"/>
  <c r="CS8" i="7"/>
  <c r="CR19" i="7"/>
  <c r="CR13" i="7"/>
  <c r="CR12" i="7"/>
  <c r="CS16" i="7"/>
  <c r="CS13" i="7"/>
  <c r="CS10" i="7"/>
  <c r="CS6" i="7"/>
  <c r="CS19" i="7"/>
  <c r="CR14" i="7"/>
  <c r="CS9" i="7"/>
  <c r="CS5" i="7"/>
  <c r="CR18" i="7"/>
  <c r="CR9" i="7"/>
  <c r="CS4" i="7"/>
  <c r="CR4" i="7"/>
  <c r="CW17" i="7" l="1"/>
  <c r="CW8" i="7"/>
  <c r="CW7" i="7"/>
  <c r="CW16" i="7"/>
  <c r="CW10" i="7"/>
  <c r="CW6" i="7"/>
  <c r="CW15" i="7"/>
  <c r="CW11" i="7"/>
  <c r="CW19" i="7"/>
  <c r="CW13" i="7"/>
  <c r="CW12" i="7"/>
  <c r="CW14" i="7"/>
  <c r="CW18" i="7"/>
  <c r="CW9" i="7"/>
  <c r="CW5" i="7"/>
</calcChain>
</file>

<file path=xl/sharedStrings.xml><?xml version="1.0" encoding="utf-8"?>
<sst xmlns="http://schemas.openxmlformats.org/spreadsheetml/2006/main" count="956" uniqueCount="133">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</sst>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2" fontId="0" fillId="0" borderId="5" xfId="0" applyNumberFormat="1" applyBorder="1"/>
    <xf numFmtId="164" fontId="0" fillId="0" borderId="5" xfId="0" applyNumberFormat="1" applyBorder="1"/>
    <xf numFmtId="164" fontId="0" fillId="0" borderId="11" xfId="0" applyNumberFormat="1" applyBorder="1"/>
    <xf numFmtId="0" fontId="2" fillId="3" borderId="24" xfId="0" applyFont="1" applyFill="1" applyBorder="1" applyAlignment="1">
      <alignment vertical="center"/>
    </xf>
    <xf numFmtId="0" fontId="0" fillId="0" borderId="0" xfId="0" quotePrefix="1"/>
    <xf numFmtId="0" fontId="1" fillId="0" borderId="29" xfId="0" applyFont="1" applyBorder="1" applyAlignment="1">
      <alignment horizontal="left" vertical="center"/>
    </xf>
    <xf numFmtId="0" fontId="2" fillId="5" borderId="24" xfId="0" applyFont="1" applyFill="1" applyBorder="1" applyAlignment="1">
      <alignment vertical="center"/>
    </xf>
    <xf numFmtId="0" fontId="0" fillId="6" borderId="0" xfId="0" applyFill="1"/>
    <xf numFmtId="0" fontId="2" fillId="0" borderId="30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5" fontId="0" fillId="0" borderId="5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1" xfId="0" quotePrefix="1" applyFont="1" applyBorder="1" applyAlignment="1">
      <alignment horizontal="center"/>
    </xf>
    <xf numFmtId="0" fontId="6" fillId="0" borderId="32" xfId="0" quotePrefix="1" applyFon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1" xfId="0" quotePrefix="1" applyFont="1" applyBorder="1" applyAlignment="1">
      <alignment horizontal="center"/>
    </xf>
    <xf numFmtId="0" fontId="5" fillId="0" borderId="32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calculations!$CR$4:$CR$19</c:f>
              <c:numCache>
                <c:formatCode>0.0000</c:formatCode>
                <c:ptCount val="16"/>
                <c:pt idx="0">
                  <c:v>9.5692001688647416E-2</c:v>
                </c:pt>
                <c:pt idx="1">
                  <c:v>0.24785972406491297</c:v>
                </c:pt>
                <c:pt idx="2">
                  <c:v>0</c:v>
                </c:pt>
                <c:pt idx="3">
                  <c:v>9.7125272970140286E-2</c:v>
                </c:pt>
                <c:pt idx="4">
                  <c:v>0.18562173836122856</c:v>
                </c:pt>
                <c:pt idx="5">
                  <c:v>7.6348326566344313E-2</c:v>
                </c:pt>
                <c:pt idx="6">
                  <c:v>1.9329888954713031E-2</c:v>
                </c:pt>
                <c:pt idx="7">
                  <c:v>9.4487681982756856E-3</c:v>
                </c:pt>
                <c:pt idx="8">
                  <c:v>0.13184769092129592</c:v>
                </c:pt>
                <c:pt idx="9">
                  <c:v>0.24360795985716413</c:v>
                </c:pt>
                <c:pt idx="10">
                  <c:v>6.1014576639333287E-3</c:v>
                </c:pt>
                <c:pt idx="11">
                  <c:v>0.12533895113769858</c:v>
                </c:pt>
                <c:pt idx="12">
                  <c:v>6.6169443219217416E-2</c:v>
                </c:pt>
                <c:pt idx="13">
                  <c:v>9.6364700817106227E-2</c:v>
                </c:pt>
                <c:pt idx="14">
                  <c:v>2.5717500435727056E-2</c:v>
                </c:pt>
                <c:pt idx="15">
                  <c:v>4.6400004831139305E-2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E20CCA9-4970-4D2E-AFB5-AA2E9EC05C8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328611-87D3-4C7A-960F-400537B299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1D549F-2603-4C70-9554-3DF90B81AB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4BFBBD-7CBC-4104-AA47-7D5FB1B0921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A06479-113A-4181-BE3A-C5A2088217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36BC30-8912-481F-A724-2D1DCE2EC6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63CD86F-D204-40AB-945E-02B40EA596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26521D3-2AD5-4FA8-9EC6-F59DE1A1F93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B5689C-2FCB-4AFA-AE15-AB14277698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C55705B-9F9F-4D2D-87E7-A7B90B10EB8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4ABD5E4-58C5-4D82-9CFA-A1AAAAF417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C259200-A37E-45BC-B410-27B5F5E99C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0775A8-C62A-4F8A-BCD1-6C53581D24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BDF4F31-9FF4-4C95-B762-418CAE9915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C1E3668-6BE0-461B-8C91-FC2D778462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929DE8-353E-46C9-9C11-D867C0CEA4F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0.69514697580722284</c:v>
                </c:pt>
                <c:pt idx="1">
                  <c:v>1</c:v>
                </c:pt>
                <c:pt idx="2">
                  <c:v>0.41837298407203521</c:v>
                </c:pt>
                <c:pt idx="3">
                  <c:v>0.58512891391484234</c:v>
                </c:pt>
                <c:pt idx="4">
                  <c:v>0.68655732289201454</c:v>
                </c:pt>
                <c:pt idx="5">
                  <c:v>0.52735653607068889</c:v>
                </c:pt>
                <c:pt idx="6">
                  <c:v>0.70573211816674031</c:v>
                </c:pt>
                <c:pt idx="7">
                  <c:v>0.60363880524245672</c:v>
                </c:pt>
                <c:pt idx="8">
                  <c:v>0.7201266203540666</c:v>
                </c:pt>
                <c:pt idx="9">
                  <c:v>0.61621603296852046</c:v>
                </c:pt>
                <c:pt idx="10">
                  <c:v>0.75067520916190289</c:v>
                </c:pt>
                <c:pt idx="11">
                  <c:v>0.6652961850344622</c:v>
                </c:pt>
                <c:pt idx="12">
                  <c:v>0.55798110091559416</c:v>
                </c:pt>
                <c:pt idx="13">
                  <c:v>0.58578531837909842</c:v>
                </c:pt>
                <c:pt idx="14">
                  <c:v>0.74860905335020655</c:v>
                </c:pt>
                <c:pt idx="15">
                  <c:v>0.4852862351914235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0.695</c:v>
                  </c:pt>
                  <c:pt idx="1">
                    <c:v>1.000</c:v>
                  </c:pt>
                  <c:pt idx="2">
                    <c:v>0.418</c:v>
                  </c:pt>
                  <c:pt idx="3">
                    <c:v>0.585</c:v>
                  </c:pt>
                  <c:pt idx="4">
                    <c:v>0.687</c:v>
                  </c:pt>
                  <c:pt idx="5">
                    <c:v>0.527</c:v>
                  </c:pt>
                  <c:pt idx="6">
                    <c:v>0.706</c:v>
                  </c:pt>
                  <c:pt idx="7">
                    <c:v>0.604</c:v>
                  </c:pt>
                  <c:pt idx="8">
                    <c:v>0.720</c:v>
                  </c:pt>
                  <c:pt idx="9">
                    <c:v>0.616</c:v>
                  </c:pt>
                  <c:pt idx="10">
                    <c:v>0.751</c:v>
                  </c:pt>
                  <c:pt idx="11">
                    <c:v>0.665</c:v>
                  </c:pt>
                  <c:pt idx="12">
                    <c:v>0.558</c:v>
                  </c:pt>
                  <c:pt idx="13">
                    <c:v>0.586</c:v>
                  </c:pt>
                  <c:pt idx="14">
                    <c:v>0.749</c:v>
                  </c:pt>
                  <c:pt idx="15">
                    <c:v>0.485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73"/>
      <c r="C1" s="73" t="s">
        <v>126</v>
      </c>
      <c r="D1" s="73"/>
      <c r="E1" s="73"/>
      <c r="F1" s="73"/>
    </row>
    <row r="3" spans="2:6" ht="16.5" thickBot="1" x14ac:dyDescent="0.3">
      <c r="B3" s="23"/>
      <c r="C3" s="69" t="s">
        <v>47</v>
      </c>
      <c r="D3" s="69" t="s">
        <v>46</v>
      </c>
      <c r="E3" s="69" t="s">
        <v>45</v>
      </c>
      <c r="F3" s="69" t="s">
        <v>44</v>
      </c>
    </row>
    <row r="4" spans="2:6" ht="15.75" thickBot="1" x14ac:dyDescent="0.3">
      <c r="B4" s="3">
        <v>1</v>
      </c>
      <c r="C4" s="8" t="s">
        <v>43</v>
      </c>
      <c r="D4" s="70">
        <v>45170</v>
      </c>
      <c r="E4" s="70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70">
        <v>45200</v>
      </c>
      <c r="E5" s="70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70">
        <v>45231</v>
      </c>
      <c r="E6" s="70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70">
        <v>45261</v>
      </c>
      <c r="E7" s="70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70">
        <v>45292</v>
      </c>
      <c r="E8" s="70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70">
        <v>45323</v>
      </c>
      <c r="E9" s="70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70">
        <v>45352</v>
      </c>
      <c r="E10" s="70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70">
        <v>45383</v>
      </c>
      <c r="E11" s="70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70">
        <v>45413</v>
      </c>
      <c r="E12" s="70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70">
        <v>45444</v>
      </c>
      <c r="E13" s="70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70">
        <v>45474</v>
      </c>
      <c r="E14" s="70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70">
        <v>45505</v>
      </c>
      <c r="E15" s="70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71" t="s">
        <v>125</v>
      </c>
      <c r="F17" s="72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6">
        <v>0</v>
      </c>
      <c r="F2" s="3" t="s">
        <v>1</v>
      </c>
      <c r="G2" s="5">
        <v>4</v>
      </c>
      <c r="H2" s="5">
        <v>43</v>
      </c>
      <c r="I2" s="5">
        <v>1</v>
      </c>
      <c r="J2" s="26">
        <v>0</v>
      </c>
      <c r="K2" s="3" t="s">
        <v>1</v>
      </c>
      <c r="L2" s="5">
        <v>144</v>
      </c>
      <c r="M2" s="5">
        <v>51</v>
      </c>
      <c r="N2" s="5">
        <v>6</v>
      </c>
      <c r="O2" s="26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6">
        <v>0</v>
      </c>
      <c r="F3" s="3" t="s">
        <v>2</v>
      </c>
      <c r="G3" s="5">
        <v>0</v>
      </c>
      <c r="H3" s="5">
        <v>22</v>
      </c>
      <c r="I3" s="5">
        <v>3</v>
      </c>
      <c r="J3" s="26">
        <v>0</v>
      </c>
      <c r="K3" s="3" t="s">
        <v>2</v>
      </c>
      <c r="L3" s="5">
        <v>1</v>
      </c>
      <c r="M3" s="5">
        <v>27</v>
      </c>
      <c r="N3" s="5">
        <v>7</v>
      </c>
      <c r="O3" s="26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6">
        <v>0</v>
      </c>
      <c r="F4" s="3" t="s">
        <v>4</v>
      </c>
      <c r="G4" s="5">
        <v>15</v>
      </c>
      <c r="H4" s="5">
        <v>9</v>
      </c>
      <c r="I4" s="5">
        <v>0</v>
      </c>
      <c r="J4" s="26">
        <v>1</v>
      </c>
      <c r="K4" s="3" t="s">
        <v>4</v>
      </c>
      <c r="L4" s="5">
        <v>34</v>
      </c>
      <c r="M4" s="5">
        <v>8</v>
      </c>
      <c r="N4" s="5">
        <v>0</v>
      </c>
      <c r="O4" s="26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6">
        <v>2</v>
      </c>
      <c r="F5" s="3" t="s">
        <v>5</v>
      </c>
      <c r="G5" s="5">
        <v>5</v>
      </c>
      <c r="H5" s="5">
        <v>29</v>
      </c>
      <c r="I5" s="5">
        <v>0</v>
      </c>
      <c r="J5" s="26">
        <v>0</v>
      </c>
      <c r="K5" s="3" t="s">
        <v>5</v>
      </c>
      <c r="L5" s="5">
        <v>27</v>
      </c>
      <c r="M5" s="5">
        <v>34</v>
      </c>
      <c r="N5" s="5">
        <v>2</v>
      </c>
      <c r="O5" s="26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6">
        <v>0</v>
      </c>
      <c r="F6" s="3" t="s">
        <v>6</v>
      </c>
      <c r="G6" s="5">
        <v>57</v>
      </c>
      <c r="H6" s="5">
        <v>112</v>
      </c>
      <c r="I6" s="5">
        <v>2</v>
      </c>
      <c r="J6" s="26">
        <v>2</v>
      </c>
      <c r="K6" s="3" t="s">
        <v>6</v>
      </c>
      <c r="L6" s="5">
        <v>46</v>
      </c>
      <c r="M6" s="5">
        <v>110</v>
      </c>
      <c r="N6" s="5">
        <v>0</v>
      </c>
      <c r="O6" s="26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6">
        <v>0</v>
      </c>
      <c r="F7" s="3" t="s">
        <v>8</v>
      </c>
      <c r="G7" s="5">
        <v>10</v>
      </c>
      <c r="H7" s="5">
        <v>43</v>
      </c>
      <c r="I7" s="5">
        <v>0</v>
      </c>
      <c r="J7" s="26">
        <v>2</v>
      </c>
      <c r="K7" s="3" t="s">
        <v>8</v>
      </c>
      <c r="L7" s="5">
        <v>35</v>
      </c>
      <c r="M7" s="5">
        <v>47</v>
      </c>
      <c r="N7" s="5">
        <v>1</v>
      </c>
      <c r="O7" s="26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6">
        <v>1</v>
      </c>
      <c r="F8" s="3" t="s">
        <v>9</v>
      </c>
      <c r="G8" s="5">
        <v>22</v>
      </c>
      <c r="H8" s="5">
        <v>36</v>
      </c>
      <c r="I8" s="5">
        <v>1</v>
      </c>
      <c r="J8" s="26">
        <v>2</v>
      </c>
      <c r="K8" s="3" t="s">
        <v>9</v>
      </c>
      <c r="L8" s="5">
        <v>26</v>
      </c>
      <c r="M8" s="5">
        <v>25</v>
      </c>
      <c r="N8" s="5">
        <v>3</v>
      </c>
      <c r="O8" s="26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6">
        <v>3</v>
      </c>
      <c r="F9" s="3" t="s">
        <v>10</v>
      </c>
      <c r="G9" s="5">
        <v>62</v>
      </c>
      <c r="H9" s="5">
        <v>42</v>
      </c>
      <c r="I9" s="5">
        <v>1</v>
      </c>
      <c r="J9" s="26">
        <v>2</v>
      </c>
      <c r="K9" s="3" t="s">
        <v>10</v>
      </c>
      <c r="L9" s="5">
        <v>107</v>
      </c>
      <c r="M9" s="5">
        <v>46</v>
      </c>
      <c r="N9" s="5">
        <v>1</v>
      </c>
      <c r="O9" s="26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6">
        <v>0</v>
      </c>
      <c r="F10" s="3" t="s">
        <v>11</v>
      </c>
      <c r="G10" s="5">
        <v>3</v>
      </c>
      <c r="H10" s="5">
        <v>88</v>
      </c>
      <c r="I10" s="5">
        <v>0</v>
      </c>
      <c r="J10" s="26">
        <v>0</v>
      </c>
      <c r="K10" s="3" t="s">
        <v>11</v>
      </c>
      <c r="L10" s="5">
        <v>3</v>
      </c>
      <c r="M10" s="5">
        <v>86</v>
      </c>
      <c r="N10" s="5">
        <v>0</v>
      </c>
      <c r="O10" s="26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6">
        <v>0</v>
      </c>
      <c r="F11" s="3" t="s">
        <v>12</v>
      </c>
      <c r="G11" s="5">
        <v>311</v>
      </c>
      <c r="H11" s="5">
        <v>61</v>
      </c>
      <c r="I11" s="5">
        <v>16</v>
      </c>
      <c r="J11" s="26">
        <v>7</v>
      </c>
      <c r="K11" s="3" t="s">
        <v>12</v>
      </c>
      <c r="L11" s="5">
        <v>23</v>
      </c>
      <c r="M11" s="5">
        <v>37</v>
      </c>
      <c r="N11" s="5">
        <v>4</v>
      </c>
      <c r="O11" s="26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6">
        <v>0</v>
      </c>
      <c r="F12" s="3" t="s">
        <v>13</v>
      </c>
      <c r="G12" s="5">
        <v>7</v>
      </c>
      <c r="H12" s="5">
        <v>68</v>
      </c>
      <c r="I12" s="5">
        <v>3</v>
      </c>
      <c r="J12" s="26">
        <v>1</v>
      </c>
      <c r="K12" s="3" t="s">
        <v>13</v>
      </c>
      <c r="L12" s="5">
        <v>11</v>
      </c>
      <c r="M12" s="5">
        <v>67</v>
      </c>
      <c r="N12" s="5">
        <v>0</v>
      </c>
      <c r="O12" s="26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6">
        <v>0</v>
      </c>
      <c r="F13" s="3" t="s">
        <v>14</v>
      </c>
      <c r="G13" s="5">
        <v>24</v>
      </c>
      <c r="H13" s="5">
        <v>58</v>
      </c>
      <c r="I13" s="5">
        <v>1</v>
      </c>
      <c r="J13" s="26">
        <v>1</v>
      </c>
      <c r="K13" s="3" t="s">
        <v>14</v>
      </c>
      <c r="L13" s="5">
        <v>33</v>
      </c>
      <c r="M13" s="5">
        <v>74</v>
      </c>
      <c r="N13" s="5">
        <v>1</v>
      </c>
      <c r="O13" s="26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6">
        <v>1</v>
      </c>
      <c r="F14" s="3" t="s">
        <v>15</v>
      </c>
      <c r="G14" s="5">
        <v>3</v>
      </c>
      <c r="H14" s="5">
        <v>25</v>
      </c>
      <c r="I14" s="5">
        <v>0</v>
      </c>
      <c r="J14" s="26">
        <v>1</v>
      </c>
      <c r="K14" s="3" t="s">
        <v>15</v>
      </c>
      <c r="L14" s="5">
        <v>10</v>
      </c>
      <c r="M14" s="5">
        <v>48</v>
      </c>
      <c r="N14" s="5">
        <v>3</v>
      </c>
      <c r="O14" s="26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6">
        <v>3</v>
      </c>
      <c r="F15" s="3" t="s">
        <v>16</v>
      </c>
      <c r="G15" s="5">
        <v>50</v>
      </c>
      <c r="H15" s="5">
        <v>39</v>
      </c>
      <c r="I15" s="5">
        <v>3</v>
      </c>
      <c r="J15" s="26">
        <v>2</v>
      </c>
      <c r="K15" s="3" t="s">
        <v>16</v>
      </c>
      <c r="L15" s="5">
        <v>133</v>
      </c>
      <c r="M15" s="5">
        <v>57</v>
      </c>
      <c r="N15" s="5">
        <v>14</v>
      </c>
      <c r="O15" s="26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6">
        <v>0</v>
      </c>
      <c r="F16" s="3" t="s">
        <v>17</v>
      </c>
      <c r="G16" s="5">
        <v>4</v>
      </c>
      <c r="H16" s="5">
        <v>12</v>
      </c>
      <c r="I16" s="5">
        <v>0</v>
      </c>
      <c r="J16" s="26">
        <v>0</v>
      </c>
      <c r="K16" s="3" t="s">
        <v>17</v>
      </c>
      <c r="L16" s="5">
        <v>18</v>
      </c>
      <c r="M16" s="5">
        <v>9</v>
      </c>
      <c r="N16" s="5">
        <v>0</v>
      </c>
      <c r="O16" s="26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6">
        <v>0</v>
      </c>
      <c r="F17" s="11" t="s">
        <v>21</v>
      </c>
      <c r="G17" s="5">
        <v>0</v>
      </c>
      <c r="H17" s="5">
        <v>0</v>
      </c>
      <c r="I17" s="5">
        <v>0</v>
      </c>
      <c r="J17" s="26">
        <v>0</v>
      </c>
      <c r="K17" s="11" t="s">
        <v>21</v>
      </c>
      <c r="L17" s="5">
        <v>1</v>
      </c>
      <c r="M17" s="5">
        <v>0</v>
      </c>
      <c r="N17" s="5">
        <v>0</v>
      </c>
      <c r="O17" s="26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6">
        <v>2</v>
      </c>
      <c r="F19" s="3" t="s">
        <v>1</v>
      </c>
      <c r="G19" s="5">
        <v>18</v>
      </c>
      <c r="H19" s="5">
        <v>107</v>
      </c>
      <c r="I19" s="5">
        <v>2</v>
      </c>
      <c r="J19" s="26">
        <v>3</v>
      </c>
      <c r="K19" s="3" t="s">
        <v>1</v>
      </c>
      <c r="L19" s="5">
        <v>5</v>
      </c>
      <c r="M19" s="5">
        <v>70</v>
      </c>
      <c r="N19" s="5">
        <v>2</v>
      </c>
      <c r="O19" s="26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6">
        <v>0</v>
      </c>
      <c r="F20" s="3" t="s">
        <v>2</v>
      </c>
      <c r="G20" s="5">
        <v>1</v>
      </c>
      <c r="H20" s="5">
        <v>144</v>
      </c>
      <c r="I20" s="5">
        <v>3</v>
      </c>
      <c r="J20" s="26">
        <v>1</v>
      </c>
      <c r="K20" s="3" t="s">
        <v>2</v>
      </c>
      <c r="L20" s="5">
        <v>2</v>
      </c>
      <c r="M20" s="5">
        <v>63</v>
      </c>
      <c r="N20" s="5">
        <v>26</v>
      </c>
      <c r="O20" s="26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6">
        <v>1</v>
      </c>
      <c r="F21" s="3" t="s">
        <v>4</v>
      </c>
      <c r="G21" s="5">
        <v>78</v>
      </c>
      <c r="H21" s="5">
        <v>23</v>
      </c>
      <c r="I21" s="5">
        <v>2</v>
      </c>
      <c r="J21" s="26">
        <v>1</v>
      </c>
      <c r="K21" s="3" t="s">
        <v>4</v>
      </c>
      <c r="L21" s="5">
        <v>28</v>
      </c>
      <c r="M21" s="5">
        <v>14</v>
      </c>
      <c r="N21" s="5">
        <v>1</v>
      </c>
      <c r="O21" s="26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6">
        <v>1</v>
      </c>
      <c r="F22" s="3" t="s">
        <v>5</v>
      </c>
      <c r="G22" s="5">
        <v>33</v>
      </c>
      <c r="H22" s="5">
        <v>87</v>
      </c>
      <c r="I22" s="5">
        <v>0</v>
      </c>
      <c r="J22" s="26">
        <v>0</v>
      </c>
      <c r="K22" s="3" t="s">
        <v>5</v>
      </c>
      <c r="L22" s="5">
        <v>28</v>
      </c>
      <c r="M22" s="5">
        <v>56</v>
      </c>
      <c r="N22" s="5">
        <v>0</v>
      </c>
      <c r="O22" s="26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6">
        <v>1</v>
      </c>
      <c r="F23" s="3" t="s">
        <v>6</v>
      </c>
      <c r="G23" s="5">
        <v>30</v>
      </c>
      <c r="H23" s="5">
        <v>79</v>
      </c>
      <c r="I23" s="5">
        <v>3</v>
      </c>
      <c r="J23" s="26">
        <v>1</v>
      </c>
      <c r="K23" s="3" t="s">
        <v>6</v>
      </c>
      <c r="L23" s="5">
        <v>51</v>
      </c>
      <c r="M23" s="5">
        <v>66</v>
      </c>
      <c r="N23" s="5">
        <v>3</v>
      </c>
      <c r="O23" s="26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6">
        <v>1</v>
      </c>
      <c r="F24" s="3" t="s">
        <v>8</v>
      </c>
      <c r="G24" s="5">
        <v>38</v>
      </c>
      <c r="H24" s="5">
        <v>50</v>
      </c>
      <c r="I24" s="5">
        <v>1</v>
      </c>
      <c r="J24" s="26">
        <v>3</v>
      </c>
      <c r="K24" s="3" t="s">
        <v>8</v>
      </c>
      <c r="L24" s="5">
        <v>20</v>
      </c>
      <c r="M24" s="5">
        <v>33</v>
      </c>
      <c r="N24" s="5">
        <v>1</v>
      </c>
      <c r="O24" s="26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6">
        <v>0</v>
      </c>
      <c r="F25" s="3" t="s">
        <v>9</v>
      </c>
      <c r="G25" s="5">
        <v>110</v>
      </c>
      <c r="H25" s="5">
        <v>177</v>
      </c>
      <c r="I25" s="5">
        <v>1</v>
      </c>
      <c r="J25" s="26">
        <v>5</v>
      </c>
      <c r="K25" s="3" t="s">
        <v>9</v>
      </c>
      <c r="L25" s="5">
        <v>116</v>
      </c>
      <c r="M25" s="5">
        <v>40</v>
      </c>
      <c r="N25" s="5">
        <v>1</v>
      </c>
      <c r="O25" s="26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6">
        <v>2</v>
      </c>
      <c r="F26" s="3" t="s">
        <v>10</v>
      </c>
      <c r="G26" s="5">
        <v>143</v>
      </c>
      <c r="H26" s="5">
        <v>56</v>
      </c>
      <c r="I26" s="5">
        <v>9</v>
      </c>
      <c r="J26" s="26">
        <v>6</v>
      </c>
      <c r="K26" s="3" t="s">
        <v>10</v>
      </c>
      <c r="L26" s="5">
        <v>108</v>
      </c>
      <c r="M26" s="5">
        <v>54</v>
      </c>
      <c r="N26" s="5">
        <v>4</v>
      </c>
      <c r="O26" s="26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6">
        <v>0</v>
      </c>
      <c r="F27" s="3" t="s">
        <v>11</v>
      </c>
      <c r="G27" s="5">
        <v>1</v>
      </c>
      <c r="H27" s="5">
        <v>112</v>
      </c>
      <c r="I27" s="5">
        <v>0</v>
      </c>
      <c r="J27" s="26">
        <v>0</v>
      </c>
      <c r="K27" s="3" t="s">
        <v>11</v>
      </c>
      <c r="L27" s="5">
        <v>3</v>
      </c>
      <c r="M27" s="5">
        <v>72</v>
      </c>
      <c r="N27" s="5">
        <v>0</v>
      </c>
      <c r="O27" s="26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6">
        <v>0</v>
      </c>
      <c r="F28" s="3" t="s">
        <v>12</v>
      </c>
      <c r="G28" s="5">
        <v>19</v>
      </c>
      <c r="H28" s="5">
        <v>74</v>
      </c>
      <c r="I28" s="5">
        <v>6</v>
      </c>
      <c r="J28" s="26">
        <v>2</v>
      </c>
      <c r="K28" s="3" t="s">
        <v>12</v>
      </c>
      <c r="L28" s="5">
        <v>9</v>
      </c>
      <c r="M28" s="5">
        <v>38</v>
      </c>
      <c r="N28" s="5">
        <v>1</v>
      </c>
      <c r="O28" s="26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6">
        <v>0</v>
      </c>
      <c r="F29" s="3" t="s">
        <v>13</v>
      </c>
      <c r="G29" s="5">
        <v>19</v>
      </c>
      <c r="H29" s="5">
        <v>112</v>
      </c>
      <c r="I29" s="5">
        <v>3</v>
      </c>
      <c r="J29" s="26">
        <v>1</v>
      </c>
      <c r="K29" s="3" t="s">
        <v>13</v>
      </c>
      <c r="L29" s="5">
        <v>20</v>
      </c>
      <c r="M29" s="5">
        <v>60</v>
      </c>
      <c r="N29" s="5">
        <v>2</v>
      </c>
      <c r="O29" s="26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6">
        <v>0</v>
      </c>
      <c r="F30" s="3" t="s">
        <v>14</v>
      </c>
      <c r="G30" s="5">
        <v>62</v>
      </c>
      <c r="H30" s="5">
        <v>69</v>
      </c>
      <c r="I30" s="5">
        <v>1</v>
      </c>
      <c r="J30" s="26">
        <v>2</v>
      </c>
      <c r="K30" s="3" t="s">
        <v>14</v>
      </c>
      <c r="L30" s="5">
        <v>52</v>
      </c>
      <c r="M30" s="5">
        <v>90</v>
      </c>
      <c r="N30" s="5">
        <v>1</v>
      </c>
      <c r="O30" s="26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6">
        <v>2</v>
      </c>
      <c r="F31" s="3" t="s">
        <v>15</v>
      </c>
      <c r="G31" s="5">
        <v>4</v>
      </c>
      <c r="H31" s="5">
        <v>75</v>
      </c>
      <c r="I31" s="5">
        <v>0</v>
      </c>
      <c r="J31" s="26">
        <v>0</v>
      </c>
      <c r="K31" s="3" t="s">
        <v>15</v>
      </c>
      <c r="L31" s="5">
        <v>10</v>
      </c>
      <c r="M31" s="5">
        <v>31</v>
      </c>
      <c r="N31" s="5">
        <v>2</v>
      </c>
      <c r="O31" s="26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6">
        <v>4</v>
      </c>
      <c r="F32" s="3" t="s">
        <v>16</v>
      </c>
      <c r="G32" s="5">
        <v>96</v>
      </c>
      <c r="H32" s="5">
        <v>85</v>
      </c>
      <c r="I32" s="5">
        <v>1</v>
      </c>
      <c r="J32" s="26">
        <v>4</v>
      </c>
      <c r="K32" s="3" t="s">
        <v>16</v>
      </c>
      <c r="L32" s="5">
        <v>79</v>
      </c>
      <c r="M32" s="5">
        <v>52</v>
      </c>
      <c r="N32" s="5">
        <v>15</v>
      </c>
      <c r="O32" s="26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6">
        <v>0</v>
      </c>
      <c r="F33" s="3" t="s">
        <v>17</v>
      </c>
      <c r="G33" s="5">
        <v>26</v>
      </c>
      <c r="H33" s="5">
        <v>53</v>
      </c>
      <c r="I33" s="5">
        <v>0</v>
      </c>
      <c r="J33" s="26">
        <v>2</v>
      </c>
      <c r="K33" s="3" t="s">
        <v>17</v>
      </c>
      <c r="L33" s="5">
        <v>12</v>
      </c>
      <c r="M33" s="5">
        <v>31</v>
      </c>
      <c r="N33" s="5">
        <v>1</v>
      </c>
      <c r="O33" s="26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6">
        <v>0</v>
      </c>
      <c r="F34" s="3" t="s">
        <v>21</v>
      </c>
      <c r="G34" s="5">
        <v>0</v>
      </c>
      <c r="H34" s="5">
        <v>53</v>
      </c>
      <c r="I34" s="5">
        <v>7</v>
      </c>
      <c r="J34" s="26">
        <v>0</v>
      </c>
      <c r="K34" s="11" t="s">
        <v>21</v>
      </c>
      <c r="L34" s="27">
        <v>4</v>
      </c>
      <c r="M34" s="27">
        <v>96</v>
      </c>
      <c r="N34" s="27">
        <v>8</v>
      </c>
      <c r="O34" s="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topLeftCell="CB1" zoomScale="84" zoomScaleNormal="84" workbookViewId="0">
      <selection activeCell="CW4" sqref="CW4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19.140625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hidden="1" customWidth="1"/>
    <col min="45" max="45" width="2.7109375" hidden="1" customWidth="1"/>
    <col min="46" max="49" width="5.7109375" hidden="1" customWidth="1"/>
    <col min="50" max="50" width="2.7109375" hidden="1" customWidth="1"/>
    <col min="51" max="54" width="5.7109375" hidden="1" customWidth="1"/>
    <col min="55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113" t="s">
        <v>129</v>
      </c>
      <c r="U1" s="113"/>
      <c r="V1" s="113"/>
      <c r="W1" s="113"/>
      <c r="X1" s="113"/>
      <c r="Y1" s="113"/>
      <c r="Z1" s="113"/>
      <c r="AA1" s="113"/>
      <c r="AB1" s="113"/>
      <c r="AC1" s="113"/>
      <c r="AD1" s="113"/>
      <c r="AF1" s="113" t="s">
        <v>130</v>
      </c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O1" s="112" t="s">
        <v>131</v>
      </c>
      <c r="CP1" s="112"/>
      <c r="CQ1" s="112"/>
      <c r="CR1" s="112"/>
      <c r="CS1" s="112"/>
      <c r="CW1" s="61" t="s">
        <v>132</v>
      </c>
    </row>
    <row r="2" spans="1:103" ht="15.75" thickBot="1" x14ac:dyDescent="0.3">
      <c r="A2" s="73" t="s">
        <v>127</v>
      </c>
      <c r="H2" t="s">
        <v>53</v>
      </c>
      <c r="T2" t="s">
        <v>56</v>
      </c>
      <c r="AF2" t="s">
        <v>54</v>
      </c>
      <c r="AL2" s="73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74" t="s">
        <v>63</v>
      </c>
      <c r="B3" s="75" t="s">
        <v>48</v>
      </c>
      <c r="C3" s="75" t="s">
        <v>29</v>
      </c>
      <c r="D3" s="75" t="s">
        <v>49</v>
      </c>
      <c r="E3" s="75" t="s">
        <v>50</v>
      </c>
      <c r="F3" s="76" t="s">
        <v>51</v>
      </c>
      <c r="H3" s="29" t="s">
        <v>48</v>
      </c>
      <c r="I3" s="24" t="s">
        <v>63</v>
      </c>
      <c r="J3" s="24" t="s">
        <v>64</v>
      </c>
      <c r="K3" s="24" t="s">
        <v>65</v>
      </c>
      <c r="L3" s="24" t="s">
        <v>66</v>
      </c>
      <c r="M3" s="24" t="s">
        <v>67</v>
      </c>
      <c r="N3" s="24" t="s">
        <v>63</v>
      </c>
      <c r="O3" s="24" t="s">
        <v>64</v>
      </c>
      <c r="P3" s="24" t="s">
        <v>65</v>
      </c>
      <c r="Q3" s="24" t="s">
        <v>66</v>
      </c>
      <c r="R3" s="25" t="s">
        <v>67</v>
      </c>
      <c r="T3" s="39" t="s">
        <v>71</v>
      </c>
      <c r="U3" s="24" t="s">
        <v>64</v>
      </c>
      <c r="V3" s="24" t="s">
        <v>65</v>
      </c>
      <c r="W3" s="24" t="s">
        <v>66</v>
      </c>
      <c r="X3" s="24" t="s">
        <v>67</v>
      </c>
      <c r="Y3" s="16"/>
      <c r="Z3" s="16"/>
      <c r="AA3" s="16"/>
      <c r="AB3" s="16"/>
      <c r="AC3" s="16"/>
      <c r="AD3" s="17"/>
      <c r="AF3" s="30"/>
      <c r="AG3" s="31" t="s">
        <v>64</v>
      </c>
      <c r="AH3" s="31" t="s">
        <v>65</v>
      </c>
      <c r="AI3" s="31" t="s">
        <v>66</v>
      </c>
      <c r="AJ3" s="32" t="s">
        <v>67</v>
      </c>
      <c r="AK3" s="33"/>
      <c r="AL3" s="74" t="s">
        <v>48</v>
      </c>
      <c r="AM3" s="34" t="s">
        <v>64</v>
      </c>
      <c r="AN3" s="34" t="s">
        <v>65</v>
      </c>
      <c r="AO3" s="34" t="s">
        <v>66</v>
      </c>
      <c r="AP3" s="35" t="s">
        <v>67</v>
      </c>
      <c r="AR3" s="29" t="s">
        <v>48</v>
      </c>
      <c r="AS3" s="36" t="s">
        <v>68</v>
      </c>
      <c r="AT3" s="37" t="s">
        <v>64</v>
      </c>
      <c r="AU3" s="37" t="s">
        <v>65</v>
      </c>
      <c r="AV3" s="37" t="s">
        <v>66</v>
      </c>
      <c r="AW3" s="37" t="s">
        <v>67</v>
      </c>
      <c r="AX3" s="36" t="s">
        <v>68</v>
      </c>
      <c r="AY3" s="37" t="s">
        <v>64</v>
      </c>
      <c r="AZ3" s="37" t="s">
        <v>65</v>
      </c>
      <c r="BA3" s="37" t="s">
        <v>66</v>
      </c>
      <c r="BB3" s="38" t="s">
        <v>67</v>
      </c>
      <c r="BC3" s="12"/>
      <c r="BD3" s="15"/>
      <c r="BE3" s="114" t="s">
        <v>69</v>
      </c>
      <c r="BF3" s="114"/>
      <c r="BG3" s="114"/>
      <c r="BH3" s="114"/>
      <c r="BI3" s="114" t="s">
        <v>70</v>
      </c>
      <c r="BJ3" s="114"/>
      <c r="BK3" s="114"/>
      <c r="BL3" s="115"/>
      <c r="BM3" s="12"/>
      <c r="BN3" s="12"/>
      <c r="BP3" s="104" t="s">
        <v>72</v>
      </c>
      <c r="BQ3" s="104"/>
      <c r="BR3" s="104" t="s">
        <v>73</v>
      </c>
      <c r="BS3" s="104"/>
      <c r="BT3" s="104" t="s">
        <v>72</v>
      </c>
      <c r="BU3" s="104"/>
      <c r="BV3" s="104" t="s">
        <v>73</v>
      </c>
      <c r="BW3" s="104"/>
      <c r="BY3" s="40" t="s">
        <v>74</v>
      </c>
      <c r="BZ3" s="40"/>
      <c r="CA3" s="40"/>
      <c r="CB3" s="40"/>
      <c r="CC3" s="40"/>
      <c r="CI3" s="41" t="s">
        <v>48</v>
      </c>
      <c r="CJ3" t="s">
        <v>75</v>
      </c>
      <c r="CK3" t="s">
        <v>76</v>
      </c>
      <c r="CL3" t="s">
        <v>77</v>
      </c>
      <c r="CM3" t="s">
        <v>78</v>
      </c>
      <c r="CP3" s="111" t="s">
        <v>79</v>
      </c>
      <c r="CQ3" s="111"/>
      <c r="CR3" t="s">
        <v>80</v>
      </c>
      <c r="CS3" t="s">
        <v>81</v>
      </c>
      <c r="CW3" t="s">
        <v>82</v>
      </c>
    </row>
    <row r="4" spans="1:103" ht="15.75" thickBot="1" x14ac:dyDescent="0.3">
      <c r="A4" s="39" t="s">
        <v>83</v>
      </c>
      <c r="B4" s="77" t="s">
        <v>1</v>
      </c>
      <c r="C4" s="78">
        <v>6</v>
      </c>
      <c r="D4" s="78">
        <v>32</v>
      </c>
      <c r="E4" s="78">
        <v>2</v>
      </c>
      <c r="F4" s="79">
        <v>0</v>
      </c>
      <c r="H4" s="42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6">
        <v>0</v>
      </c>
      <c r="T4" s="42" t="s">
        <v>86</v>
      </c>
      <c r="U4" s="52">
        <v>2</v>
      </c>
      <c r="V4" s="53">
        <v>14</v>
      </c>
      <c r="W4" s="53">
        <v>0</v>
      </c>
      <c r="X4" s="52">
        <v>0</v>
      </c>
      <c r="AA4" t="s">
        <v>87</v>
      </c>
      <c r="AB4" t="s">
        <v>88</v>
      </c>
      <c r="AC4" t="s">
        <v>89</v>
      </c>
      <c r="AD4" s="19" t="s">
        <v>90</v>
      </c>
      <c r="AF4" s="43" t="s">
        <v>70</v>
      </c>
      <c r="AG4" s="44">
        <f>MAX(C4:C99)</f>
        <v>311</v>
      </c>
      <c r="AH4" s="44">
        <f>MAX(D4:D99)</f>
        <v>177</v>
      </c>
      <c r="AI4" s="44">
        <f>MAX(E4:E99)</f>
        <v>26</v>
      </c>
      <c r="AJ4" s="45">
        <f>MAX(F4:F99)</f>
        <v>9</v>
      </c>
      <c r="AL4" s="39" t="s">
        <v>1</v>
      </c>
      <c r="AM4" s="84">
        <f t="shared" ref="AM4:AM35" si="0">(AG$4-C4)/(AG$4-AG$5)</f>
        <v>0.98070739549839225</v>
      </c>
      <c r="AN4" s="85">
        <f t="shared" ref="AN4:AN35" si="1">(D4-AH$5)/(AH$4-AH$5)</f>
        <v>0.1807909604519774</v>
      </c>
      <c r="AO4" s="85">
        <f t="shared" ref="AO4:AO35" si="2">(E4-AI$5)/(AI$4-AI$5)</f>
        <v>7.6923076923076927E-2</v>
      </c>
      <c r="AP4" s="86">
        <f t="shared" ref="AP4:AP35" si="3">(AJ$4-F4)/(AJ$4-AJ$5)</f>
        <v>1</v>
      </c>
      <c r="AR4" s="42" t="s">
        <v>1</v>
      </c>
      <c r="AS4">
        <v>0</v>
      </c>
      <c r="AT4" s="48">
        <v>0.98070739549839203</v>
      </c>
      <c r="AU4" s="48">
        <v>0.1807909604519774</v>
      </c>
      <c r="AV4" s="48">
        <v>0.92307692307692313</v>
      </c>
      <c r="AW4" s="48">
        <v>0</v>
      </c>
      <c r="AX4">
        <v>1</v>
      </c>
      <c r="AY4" s="48">
        <v>0.98713826366559487</v>
      </c>
      <c r="AZ4" s="48">
        <v>0.24293785310734464</v>
      </c>
      <c r="BA4" s="48">
        <v>0.96153846153846156</v>
      </c>
      <c r="BB4" s="49">
        <v>0</v>
      </c>
      <c r="BC4" s="48"/>
      <c r="BD4" s="15"/>
      <c r="BE4" s="50" t="s">
        <v>64</v>
      </c>
      <c r="BF4" s="50" t="s">
        <v>65</v>
      </c>
      <c r="BG4" s="50" t="s">
        <v>66</v>
      </c>
      <c r="BH4" s="50" t="s">
        <v>67</v>
      </c>
      <c r="BI4" s="50" t="s">
        <v>64</v>
      </c>
      <c r="BJ4" s="50" t="s">
        <v>65</v>
      </c>
      <c r="BK4" s="50" t="s">
        <v>66</v>
      </c>
      <c r="BL4" s="51" t="s">
        <v>67</v>
      </c>
      <c r="BM4" s="48"/>
      <c r="BN4" s="48"/>
      <c r="BO4" s="33"/>
      <c r="BP4" s="54">
        <f>U35</f>
        <v>1.4814814814814815E-2</v>
      </c>
      <c r="BQ4" s="54">
        <f>U36</f>
        <v>6.6666666666666666E-2</v>
      </c>
      <c r="BR4" s="54">
        <f>U37</f>
        <v>7.407407407407407E-2</v>
      </c>
      <c r="BS4" s="54">
        <f>U38</f>
        <v>0.2074074074074074</v>
      </c>
      <c r="BT4" s="54">
        <f>V35</f>
        <v>0.40229885057471265</v>
      </c>
      <c r="BU4" s="54">
        <f>V36</f>
        <v>0.55172413793103448</v>
      </c>
      <c r="BV4" s="54">
        <v>0.22727272727272727</v>
      </c>
      <c r="BW4" s="54">
        <v>0.375</v>
      </c>
      <c r="BY4" s="40" t="s">
        <v>91</v>
      </c>
      <c r="BZ4" s="2"/>
      <c r="CA4" s="2"/>
      <c r="CB4" s="2"/>
      <c r="CC4" s="2"/>
      <c r="CI4" s="4" t="s">
        <v>1</v>
      </c>
      <c r="CJ4" s="14">
        <f>(BZ6+CD6+BZ23+CD23)/$T$41</f>
        <v>3.3429042896151825E-2</v>
      </c>
      <c r="CK4" s="14">
        <f t="shared" ref="CJ4:CM11" si="4">(CA6+CE6+CA23+CE23)/$T$41</f>
        <v>0.23212549967715335</v>
      </c>
      <c r="CL4" s="14">
        <f t="shared" si="4"/>
        <v>6.6633535266871283E-2</v>
      </c>
      <c r="CM4" s="14">
        <f t="shared" si="4"/>
        <v>0.27296731419937559</v>
      </c>
      <c r="CO4" s="4" t="s">
        <v>1</v>
      </c>
      <c r="CP4" s="14">
        <f t="shared" ref="CP4:CP19" si="5">CJ4-CM4</f>
        <v>-0.23953827130322375</v>
      </c>
      <c r="CQ4" s="14">
        <f t="shared" ref="CQ4:CQ19" si="6">CK4-CL4</f>
        <v>0.16549196441028208</v>
      </c>
      <c r="CR4" s="116">
        <f t="shared" ref="CR4:CR19" si="7">(CP4+$CP$21)/($CP$21+$CQ$21)</f>
        <v>9.5692001688647416E-2</v>
      </c>
      <c r="CS4" s="55">
        <f t="shared" ref="CS4:CS19" si="8">(CQ4+$CP$21)/($CP$21+$CQ$21)</f>
        <v>0.69514697580722284</v>
      </c>
      <c r="CU4" s="14"/>
      <c r="CW4" s="44">
        <f>RANK(CR4,$CR$4:$CR$19,0)</f>
        <v>8</v>
      </c>
      <c r="CY4" s="14"/>
    </row>
    <row r="5" spans="1:103" ht="15.75" thickBot="1" x14ac:dyDescent="0.3">
      <c r="A5" s="42" t="s">
        <v>83</v>
      </c>
      <c r="B5" s="4" t="s">
        <v>2</v>
      </c>
      <c r="C5" s="5">
        <v>2</v>
      </c>
      <c r="D5" s="5">
        <v>34</v>
      </c>
      <c r="E5" s="5">
        <v>2</v>
      </c>
      <c r="F5" s="26">
        <v>0</v>
      </c>
      <c r="H5" s="42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6">
        <v>0</v>
      </c>
      <c r="T5" s="57" t="s">
        <v>92</v>
      </c>
      <c r="U5" s="52">
        <v>3</v>
      </c>
      <c r="V5" s="53">
        <v>31</v>
      </c>
      <c r="W5" s="53">
        <v>0</v>
      </c>
      <c r="X5" s="52">
        <v>0</v>
      </c>
      <c r="AA5" t="s">
        <v>93</v>
      </c>
      <c r="AB5" t="s">
        <v>94</v>
      </c>
      <c r="AC5" s="58" t="s">
        <v>95</v>
      </c>
      <c r="AD5" s="19" t="s">
        <v>96</v>
      </c>
      <c r="AF5" s="43" t="s">
        <v>69</v>
      </c>
      <c r="AG5" s="44">
        <f>MIN(C4:C99)</f>
        <v>0</v>
      </c>
      <c r="AH5" s="44">
        <f>MIN(D4:D99)</f>
        <v>0</v>
      </c>
      <c r="AI5" s="44">
        <f>MIN(E4:E99)</f>
        <v>0</v>
      </c>
      <c r="AJ5" s="45">
        <f>MIN(F4:F99)</f>
        <v>0</v>
      </c>
      <c r="AL5" s="42" t="s">
        <v>2</v>
      </c>
      <c r="AM5" s="46">
        <f t="shared" si="0"/>
        <v>0.99356913183279738</v>
      </c>
      <c r="AN5" s="47">
        <f t="shared" si="1"/>
        <v>0.19209039548022599</v>
      </c>
      <c r="AO5" s="47">
        <f t="shared" si="2"/>
        <v>7.6923076923076927E-2</v>
      </c>
      <c r="AP5" s="87">
        <f t="shared" si="3"/>
        <v>1</v>
      </c>
      <c r="AR5" s="42" t="s">
        <v>2</v>
      </c>
      <c r="AS5">
        <v>0</v>
      </c>
      <c r="AT5" s="48">
        <v>0.99356913183279738</v>
      </c>
      <c r="AU5" s="48">
        <v>0.19209039548022599</v>
      </c>
      <c r="AV5" s="48">
        <v>0.92307692307692313</v>
      </c>
      <c r="AW5" s="48">
        <v>0</v>
      </c>
      <c r="AX5">
        <v>1</v>
      </c>
      <c r="AY5" s="48">
        <v>1</v>
      </c>
      <c r="AZ5" s="48">
        <v>0.12429378531073447</v>
      </c>
      <c r="BA5" s="48">
        <v>0.88461538461538458</v>
      </c>
      <c r="BB5" s="49">
        <v>0</v>
      </c>
      <c r="BC5" s="48"/>
      <c r="BD5" s="42" t="s">
        <v>1</v>
      </c>
      <c r="BE5" s="13">
        <f>MIN(AM4,AM20,AM36,AM52,AM68,AM84)</f>
        <v>0.53697749196141475</v>
      </c>
      <c r="BF5" s="13">
        <f t="shared" ref="BF5:BH20" si="9">MIN(AN4,AN20,AN36,AN52,AN68,AN84)</f>
        <v>0.1807909604519774</v>
      </c>
      <c r="BG5" s="13">
        <f t="shared" si="9"/>
        <v>3.8461538461538464E-2</v>
      </c>
      <c r="BH5" s="13">
        <f t="shared" si="9"/>
        <v>0.66666666666666663</v>
      </c>
      <c r="BI5" s="13">
        <f>MAX(AM4,AM20,AM36,AM52,AM68,AM84)</f>
        <v>0.98713826366559487</v>
      </c>
      <c r="BJ5" s="13">
        <f t="shared" ref="BJ5:BL20" si="10">MAX(AN4,AN20,AN36,AN52,AN68,AN84)</f>
        <v>0.60451977401129942</v>
      </c>
      <c r="BK5" s="13">
        <f t="shared" si="10"/>
        <v>0.23076923076923078</v>
      </c>
      <c r="BL5" s="56">
        <f t="shared" si="10"/>
        <v>1</v>
      </c>
      <c r="BM5" s="48"/>
      <c r="BN5" s="48"/>
      <c r="BO5" s="33"/>
      <c r="BP5" s="105" t="s">
        <v>40</v>
      </c>
      <c r="BQ5" s="106"/>
      <c r="BR5" s="105" t="s">
        <v>41</v>
      </c>
      <c r="BS5" s="106"/>
      <c r="BT5" s="105" t="s">
        <v>40</v>
      </c>
      <c r="BU5" s="106"/>
      <c r="BV5" s="105" t="s">
        <v>41</v>
      </c>
      <c r="BW5" s="106"/>
      <c r="BY5" s="41"/>
      <c r="BZ5" s="59" t="s">
        <v>97</v>
      </c>
      <c r="CA5" s="59" t="s">
        <v>98</v>
      </c>
      <c r="CB5" s="59" t="s">
        <v>97</v>
      </c>
      <c r="CC5" s="59" t="s">
        <v>98</v>
      </c>
      <c r="CD5" s="59" t="s">
        <v>99</v>
      </c>
      <c r="CE5" s="59" t="s">
        <v>100</v>
      </c>
      <c r="CF5" s="59" t="s">
        <v>99</v>
      </c>
      <c r="CG5" s="59" t="s">
        <v>100</v>
      </c>
      <c r="CI5" s="4" t="s">
        <v>2</v>
      </c>
      <c r="CJ5" s="14">
        <f t="shared" si="4"/>
        <v>2.9287051190545779E-2</v>
      </c>
      <c r="CK5" s="14">
        <f t="shared" si="4"/>
        <v>0.38324157246395452</v>
      </c>
      <c r="CL5" s="14">
        <f t="shared" si="4"/>
        <v>1.1771348504938285E-2</v>
      </c>
      <c r="CM5" s="14">
        <f t="shared" si="4"/>
        <v>0.16601104765574823</v>
      </c>
      <c r="CO5" s="4" t="s">
        <v>2</v>
      </c>
      <c r="CP5" s="14">
        <f t="shared" si="5"/>
        <v>-0.13672399646520245</v>
      </c>
      <c r="CQ5" s="14">
        <f t="shared" si="6"/>
        <v>0.37147022395901624</v>
      </c>
      <c r="CR5" s="97">
        <f t="shared" si="7"/>
        <v>0.24785972406491297</v>
      </c>
      <c r="CS5" s="55">
        <f t="shared" si="8"/>
        <v>1</v>
      </c>
      <c r="CU5" s="14"/>
      <c r="CW5" s="44">
        <f t="shared" ref="CW5:CW19" si="11">RANK(CR5,$CR$4:$CR$19,0)</f>
        <v>1</v>
      </c>
      <c r="CY5" s="14"/>
    </row>
    <row r="6" spans="1:103" ht="15.75" thickBot="1" x14ac:dyDescent="0.3">
      <c r="A6" s="42" t="s">
        <v>83</v>
      </c>
      <c r="B6" s="4" t="s">
        <v>4</v>
      </c>
      <c r="C6" s="5">
        <v>26</v>
      </c>
      <c r="D6" s="5">
        <v>16</v>
      </c>
      <c r="E6" s="5">
        <v>0</v>
      </c>
      <c r="F6" s="26">
        <v>0</v>
      </c>
      <c r="H6" s="42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6">
        <v>1</v>
      </c>
      <c r="T6" s="60" t="s">
        <v>37</v>
      </c>
      <c r="U6" s="52">
        <v>4</v>
      </c>
      <c r="V6" s="53">
        <v>31</v>
      </c>
      <c r="W6" s="53">
        <v>1</v>
      </c>
      <c r="X6" s="52">
        <v>0</v>
      </c>
      <c r="AA6" t="s">
        <v>103</v>
      </c>
      <c r="AB6" t="s">
        <v>104</v>
      </c>
      <c r="AC6" t="s">
        <v>105</v>
      </c>
      <c r="AD6" s="19" t="s">
        <v>106</v>
      </c>
      <c r="AF6" s="20"/>
      <c r="AG6" s="21" t="s">
        <v>101</v>
      </c>
      <c r="AH6" s="21" t="s">
        <v>102</v>
      </c>
      <c r="AI6" s="21" t="s">
        <v>102</v>
      </c>
      <c r="AJ6" s="22" t="s">
        <v>101</v>
      </c>
      <c r="AL6" s="42" t="s">
        <v>4</v>
      </c>
      <c r="AM6" s="46">
        <f t="shared" si="0"/>
        <v>0.91639871382636651</v>
      </c>
      <c r="AN6" s="47">
        <f t="shared" si="1"/>
        <v>9.03954802259887E-2</v>
      </c>
      <c r="AO6" s="47">
        <f t="shared" si="2"/>
        <v>0</v>
      </c>
      <c r="AP6" s="87">
        <f t="shared" si="3"/>
        <v>1</v>
      </c>
      <c r="AR6" s="42" t="s">
        <v>4</v>
      </c>
      <c r="AS6">
        <v>0</v>
      </c>
      <c r="AT6" s="48">
        <v>0.91639871382636651</v>
      </c>
      <c r="AU6" s="48">
        <v>9.03954802259887E-2</v>
      </c>
      <c r="AV6" s="48">
        <v>1</v>
      </c>
      <c r="AW6" s="48">
        <v>0</v>
      </c>
      <c r="AX6">
        <v>1</v>
      </c>
      <c r="AY6" s="48">
        <v>0.95176848874598075</v>
      </c>
      <c r="AZ6" s="48">
        <v>5.0847457627118647E-2</v>
      </c>
      <c r="BA6" s="48">
        <v>1</v>
      </c>
      <c r="BB6" s="49">
        <v>0.1111111111111111</v>
      </c>
      <c r="BC6" s="48"/>
      <c r="BD6" s="42" t="s">
        <v>2</v>
      </c>
      <c r="BE6" s="13">
        <f t="shared" ref="BE6:BE20" si="12">MIN(AM5,AM21,AM37,AM53,AM69,AM85)</f>
        <v>0.99356913183279738</v>
      </c>
      <c r="BF6" s="13">
        <f t="shared" si="9"/>
        <v>0.12429378531073447</v>
      </c>
      <c r="BG6" s="13">
        <f t="shared" si="9"/>
        <v>7.6923076923076927E-2</v>
      </c>
      <c r="BH6" s="13">
        <f t="shared" si="9"/>
        <v>0.88888888888888884</v>
      </c>
      <c r="BI6" s="13">
        <f t="shared" ref="BI6:BI20" si="13">MAX(AM5,AM21,AM37,AM53,AM69,AM85)</f>
        <v>1</v>
      </c>
      <c r="BJ6" s="13">
        <f t="shared" si="10"/>
        <v>0.81355932203389836</v>
      </c>
      <c r="BK6" s="13">
        <f t="shared" si="10"/>
        <v>1</v>
      </c>
      <c r="BL6" s="56">
        <f t="shared" si="10"/>
        <v>1</v>
      </c>
      <c r="BM6" s="48"/>
      <c r="BN6" s="48"/>
      <c r="BO6" s="41"/>
      <c r="BP6" s="59" t="s">
        <v>97</v>
      </c>
      <c r="BQ6" s="59" t="s">
        <v>98</v>
      </c>
      <c r="BR6" s="59" t="s">
        <v>97</v>
      </c>
      <c r="BS6" s="59" t="s">
        <v>98</v>
      </c>
      <c r="BT6" s="59" t="s">
        <v>99</v>
      </c>
      <c r="BU6" s="59" t="s">
        <v>100</v>
      </c>
      <c r="BV6" s="59" t="s">
        <v>99</v>
      </c>
      <c r="BW6" s="59" t="s">
        <v>100</v>
      </c>
      <c r="BY6" s="4" t="s">
        <v>1</v>
      </c>
      <c r="BZ6" s="13">
        <f>BP7*BP$4</f>
        <v>5.4857518272152447E-3</v>
      </c>
      <c r="CA6" s="13">
        <f t="shared" ref="CA6:CG21" si="14">BQ7*BQ$4</f>
        <v>4.5380635624538063E-2</v>
      </c>
      <c r="CB6" s="13">
        <f t="shared" si="14"/>
        <v>6.5697626673236328E-4</v>
      </c>
      <c r="CC6" s="13">
        <f t="shared" si="14"/>
        <v>6.6223207686622321E-2</v>
      </c>
      <c r="CD6" s="13">
        <f t="shared" si="14"/>
        <v>5.1085568326947647E-2</v>
      </c>
      <c r="CE6" s="13">
        <f t="shared" si="14"/>
        <v>0.23426382047071703</v>
      </c>
      <c r="CF6" s="13">
        <f t="shared" si="14"/>
        <v>6.3131313131313149E-2</v>
      </c>
      <c r="CG6" s="13">
        <f t="shared" si="14"/>
        <v>0.21577380952380953</v>
      </c>
      <c r="CI6" s="4" t="s">
        <v>4</v>
      </c>
      <c r="CJ6" s="14">
        <f t="shared" si="4"/>
        <v>1.2197642007688398E-2</v>
      </c>
      <c r="CK6" s="14">
        <f t="shared" si="4"/>
        <v>0.11418335462563983</v>
      </c>
      <c r="CL6" s="14">
        <f t="shared" si="4"/>
        <v>0.13569765415820495</v>
      </c>
      <c r="CM6" s="14">
        <f t="shared" si="4"/>
        <v>0.31639156831959592</v>
      </c>
      <c r="CO6" s="4" t="s">
        <v>4</v>
      </c>
      <c r="CP6" s="14">
        <f t="shared" si="5"/>
        <v>-0.3041939263119075</v>
      </c>
      <c r="CQ6" s="14">
        <f t="shared" si="6"/>
        <v>-2.1514299532565118E-2</v>
      </c>
      <c r="CR6" s="97">
        <f t="shared" si="7"/>
        <v>0</v>
      </c>
      <c r="CS6" s="55">
        <f t="shared" si="8"/>
        <v>0.41837298407203521</v>
      </c>
      <c r="CU6" s="14"/>
      <c r="CW6" s="44">
        <f t="shared" si="11"/>
        <v>16</v>
      </c>
      <c r="CY6" s="14"/>
    </row>
    <row r="7" spans="1:103" ht="15.75" thickBot="1" x14ac:dyDescent="0.3">
      <c r="A7" s="42" t="s">
        <v>83</v>
      </c>
      <c r="B7" s="4" t="s">
        <v>5</v>
      </c>
      <c r="C7" s="5">
        <v>19</v>
      </c>
      <c r="D7" s="5">
        <v>24</v>
      </c>
      <c r="E7" s="5">
        <v>0</v>
      </c>
      <c r="F7" s="26">
        <v>2</v>
      </c>
      <c r="H7" s="42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6">
        <v>0</v>
      </c>
      <c r="T7" s="42" t="s">
        <v>107</v>
      </c>
      <c r="U7" s="52">
        <v>5</v>
      </c>
      <c r="V7" s="53">
        <v>33</v>
      </c>
      <c r="W7" s="53">
        <v>1</v>
      </c>
      <c r="X7" s="52">
        <v>0</v>
      </c>
      <c r="AD7" s="19"/>
      <c r="AL7" s="42" t="s">
        <v>5</v>
      </c>
      <c r="AM7" s="46">
        <f t="shared" si="0"/>
        <v>0.93890675241157562</v>
      </c>
      <c r="AN7" s="47">
        <f t="shared" si="1"/>
        <v>0.13559322033898305</v>
      </c>
      <c r="AO7" s="47">
        <f t="shared" si="2"/>
        <v>0</v>
      </c>
      <c r="AP7" s="87">
        <f t="shared" si="3"/>
        <v>0.77777777777777779</v>
      </c>
      <c r="AR7" s="42" t="s">
        <v>5</v>
      </c>
      <c r="AS7">
        <v>0</v>
      </c>
      <c r="AT7" s="48">
        <v>0.93890675241157562</v>
      </c>
      <c r="AU7" s="48">
        <v>0.13559322033898305</v>
      </c>
      <c r="AV7" s="48">
        <v>1</v>
      </c>
      <c r="AW7" s="48">
        <v>0.22222222222222221</v>
      </c>
      <c r="AX7">
        <v>1</v>
      </c>
      <c r="AY7" s="48">
        <v>0.98392282958199362</v>
      </c>
      <c r="AZ7" s="48">
        <v>0.16384180790960451</v>
      </c>
      <c r="BA7" s="48">
        <v>1</v>
      </c>
      <c r="BB7" s="49">
        <v>0</v>
      </c>
      <c r="BC7" s="48"/>
      <c r="BD7" s="42" t="s">
        <v>4</v>
      </c>
      <c r="BE7" s="13">
        <f t="shared" si="12"/>
        <v>0.74919614147909963</v>
      </c>
      <c r="BF7" s="13">
        <f t="shared" si="9"/>
        <v>4.519774011299435E-2</v>
      </c>
      <c r="BG7" s="13">
        <f t="shared" si="9"/>
        <v>0</v>
      </c>
      <c r="BH7" s="13">
        <f t="shared" si="9"/>
        <v>0.77777777777777779</v>
      </c>
      <c r="BI7" s="13">
        <f t="shared" si="13"/>
        <v>0.95176848874598075</v>
      </c>
      <c r="BJ7" s="13">
        <f t="shared" si="10"/>
        <v>0.12994350282485875</v>
      </c>
      <c r="BK7" s="13">
        <f t="shared" si="10"/>
        <v>7.6923076923076927E-2</v>
      </c>
      <c r="BL7" s="56">
        <f t="shared" si="10"/>
        <v>1</v>
      </c>
      <c r="BM7" s="48"/>
      <c r="BN7" s="48"/>
      <c r="BO7" s="4" t="s">
        <v>1</v>
      </c>
      <c r="BP7" s="13">
        <v>0.370288248337029</v>
      </c>
      <c r="BQ7" s="13">
        <v>0.68070953436807091</v>
      </c>
      <c r="BR7" s="13">
        <v>8.8691796008869041E-3</v>
      </c>
      <c r="BS7" s="13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5">BP8*BP$4</f>
        <v>1.4625488107916224E-2</v>
      </c>
      <c r="CA7" s="13">
        <f t="shared" si="14"/>
        <v>6.6240681576144836E-2</v>
      </c>
      <c r="CB7" s="13">
        <f t="shared" si="14"/>
        <v>0</v>
      </c>
      <c r="CC7" s="13">
        <f t="shared" si="14"/>
        <v>1.3252869482901527E-3</v>
      </c>
      <c r="CD7" s="13">
        <f t="shared" si="14"/>
        <v>2.9600584323223007E-2</v>
      </c>
      <c r="CE7" s="13">
        <f t="shared" si="14"/>
        <v>0.2657132971975551</v>
      </c>
      <c r="CF7" s="13">
        <f t="shared" si="14"/>
        <v>2.5083612040133769E-2</v>
      </c>
      <c r="CG7" s="13">
        <f t="shared" si="14"/>
        <v>0.1943979933110368</v>
      </c>
      <c r="CI7" s="4" t="s">
        <v>5</v>
      </c>
      <c r="CJ7" s="14">
        <f t="shared" si="4"/>
        <v>2.4543388681883698E-2</v>
      </c>
      <c r="CK7" s="14">
        <f t="shared" si="4"/>
        <v>0.18042056262992626</v>
      </c>
      <c r="CL7" s="14">
        <f t="shared" si="4"/>
        <v>8.926385852261326E-2</v>
      </c>
      <c r="CM7" s="14">
        <f t="shared" si="4"/>
        <v>0.26311324996258983</v>
      </c>
      <c r="CO7" s="4" t="s">
        <v>5</v>
      </c>
      <c r="CP7" s="14">
        <f t="shared" si="5"/>
        <v>-0.23856986128070615</v>
      </c>
      <c r="CQ7" s="14">
        <f t="shared" si="6"/>
        <v>9.1156704107312997E-2</v>
      </c>
      <c r="CR7" s="97">
        <f t="shared" si="7"/>
        <v>9.7125272970140286E-2</v>
      </c>
      <c r="CS7" s="55">
        <f t="shared" si="8"/>
        <v>0.58512891391484234</v>
      </c>
      <c r="CU7" s="14"/>
      <c r="CW7" s="44">
        <f t="shared" si="11"/>
        <v>6</v>
      </c>
      <c r="CY7" s="14"/>
    </row>
    <row r="8" spans="1:103" ht="15.75" thickBot="1" x14ac:dyDescent="0.3">
      <c r="A8" s="42" t="s">
        <v>83</v>
      </c>
      <c r="B8" s="4" t="s">
        <v>6</v>
      </c>
      <c r="C8" s="5">
        <v>20</v>
      </c>
      <c r="D8" s="5">
        <v>79</v>
      </c>
      <c r="E8" s="5">
        <v>1</v>
      </c>
      <c r="F8" s="26">
        <v>0</v>
      </c>
      <c r="H8" s="42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6">
        <v>2</v>
      </c>
      <c r="T8" s="42"/>
      <c r="U8" s="52">
        <v>9</v>
      </c>
      <c r="V8" s="53">
        <v>38</v>
      </c>
      <c r="W8" s="53">
        <v>1</v>
      </c>
      <c r="X8" s="52">
        <v>0</v>
      </c>
      <c r="AD8" s="19"/>
      <c r="AL8" s="42" t="s">
        <v>6</v>
      </c>
      <c r="AM8" s="46">
        <f t="shared" si="0"/>
        <v>0.93569131832797425</v>
      </c>
      <c r="AN8" s="47">
        <f t="shared" si="1"/>
        <v>0.4463276836158192</v>
      </c>
      <c r="AO8" s="47">
        <f t="shared" si="2"/>
        <v>3.8461538461538464E-2</v>
      </c>
      <c r="AP8" s="87">
        <f t="shared" si="3"/>
        <v>1</v>
      </c>
      <c r="AR8" s="42" t="s">
        <v>6</v>
      </c>
      <c r="AS8">
        <v>0</v>
      </c>
      <c r="AT8" s="48">
        <v>0.93569131832797425</v>
      </c>
      <c r="AU8" s="48">
        <v>0.4463276836158192</v>
      </c>
      <c r="AV8" s="48">
        <v>0.96153846153846156</v>
      </c>
      <c r="AW8" s="48">
        <v>0</v>
      </c>
      <c r="AX8">
        <v>1</v>
      </c>
      <c r="AY8" s="48">
        <v>0.81672025723472674</v>
      </c>
      <c r="AZ8" s="48">
        <v>0.63276836158192096</v>
      </c>
      <c r="BA8" s="48">
        <v>0.92307692307692313</v>
      </c>
      <c r="BB8" s="49">
        <v>0.22222222222222221</v>
      </c>
      <c r="BC8" s="48"/>
      <c r="BD8" s="42" t="s">
        <v>5</v>
      </c>
      <c r="BE8" s="13">
        <f t="shared" si="12"/>
        <v>0.89067524115755625</v>
      </c>
      <c r="BF8" s="13">
        <f t="shared" si="9"/>
        <v>0.13559322033898305</v>
      </c>
      <c r="BG8" s="13">
        <f t="shared" si="9"/>
        <v>0</v>
      </c>
      <c r="BH8" s="13">
        <f t="shared" si="9"/>
        <v>0.77777777777777779</v>
      </c>
      <c r="BI8" s="13">
        <f t="shared" si="13"/>
        <v>0.98392282958199362</v>
      </c>
      <c r="BJ8" s="13">
        <f t="shared" si="10"/>
        <v>0.49152542372881358</v>
      </c>
      <c r="BK8" s="13">
        <f t="shared" si="10"/>
        <v>7.6923076923076927E-2</v>
      </c>
      <c r="BL8" s="56">
        <f t="shared" si="10"/>
        <v>1</v>
      </c>
      <c r="BM8" s="48"/>
      <c r="BN8" s="48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5"/>
        <v>9.2295504060209942E-3</v>
      </c>
      <c r="CA8" s="13">
        <f t="shared" si="14"/>
        <v>5.2762923351158647E-2</v>
      </c>
      <c r="CB8" s="13">
        <f t="shared" si="14"/>
        <v>2.9708853238264977E-3</v>
      </c>
      <c r="CC8" s="13">
        <f t="shared" si="14"/>
        <v>4.3256090314913856E-2</v>
      </c>
      <c r="CD8" s="13">
        <f t="shared" si="14"/>
        <v>1.6762452107279693E-2</v>
      </c>
      <c r="CE8" s="13">
        <f t="shared" si="14"/>
        <v>6.6091954022988494E-2</v>
      </c>
      <c r="CF8" s="13">
        <f t="shared" si="14"/>
        <v>0.18229166666666666</v>
      </c>
      <c r="CG8" s="13">
        <f t="shared" si="14"/>
        <v>0.330078125</v>
      </c>
      <c r="CI8" s="4" t="s">
        <v>6</v>
      </c>
      <c r="CJ8" s="14">
        <f t="shared" si="4"/>
        <v>5.8552153162062227E-2</v>
      </c>
      <c r="CK8" s="14">
        <f t="shared" si="4"/>
        <v>0.23197632458266035</v>
      </c>
      <c r="CL8" s="14">
        <f t="shared" si="4"/>
        <v>7.2288080710454589E-2</v>
      </c>
      <c r="CM8" s="14">
        <f t="shared" si="4"/>
        <v>0.23732812535231851</v>
      </c>
      <c r="CO8" s="4" t="s">
        <v>6</v>
      </c>
      <c r="CP8" s="14">
        <f t="shared" si="5"/>
        <v>-0.17877597219025629</v>
      </c>
      <c r="CQ8" s="14">
        <f t="shared" si="6"/>
        <v>0.15968824387220576</v>
      </c>
      <c r="CR8" s="97">
        <f t="shared" si="7"/>
        <v>0.18562173836122856</v>
      </c>
      <c r="CS8" s="55">
        <f t="shared" si="8"/>
        <v>0.68655732289201454</v>
      </c>
      <c r="CU8" s="14"/>
      <c r="CW8" s="44">
        <f t="shared" si="11"/>
        <v>3</v>
      </c>
      <c r="CY8" s="14"/>
    </row>
    <row r="9" spans="1:103" ht="15.75" thickBot="1" x14ac:dyDescent="0.3">
      <c r="A9" s="42" t="s">
        <v>83</v>
      </c>
      <c r="B9" s="4" t="s">
        <v>8</v>
      </c>
      <c r="C9" s="5">
        <v>23</v>
      </c>
      <c r="D9" s="5">
        <v>62</v>
      </c>
      <c r="E9" s="5">
        <v>2</v>
      </c>
      <c r="F9" s="26">
        <v>0</v>
      </c>
      <c r="H9" s="42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6">
        <v>2</v>
      </c>
      <c r="T9" s="42"/>
      <c r="U9" s="5">
        <v>10</v>
      </c>
      <c r="V9" s="5">
        <v>40</v>
      </c>
      <c r="W9" s="53">
        <v>1</v>
      </c>
      <c r="X9" s="52">
        <v>1</v>
      </c>
      <c r="AD9" s="19"/>
      <c r="AL9" s="42" t="s">
        <v>8</v>
      </c>
      <c r="AM9" s="46">
        <f t="shared" si="0"/>
        <v>0.92604501607717038</v>
      </c>
      <c r="AN9" s="47">
        <f t="shared" si="1"/>
        <v>0.35028248587570621</v>
      </c>
      <c r="AO9" s="47">
        <f t="shared" si="2"/>
        <v>7.6923076923076927E-2</v>
      </c>
      <c r="AP9" s="87">
        <f t="shared" si="3"/>
        <v>1</v>
      </c>
      <c r="AR9" s="42" t="s">
        <v>8</v>
      </c>
      <c r="AS9">
        <v>0</v>
      </c>
      <c r="AT9" s="48">
        <v>0.92604501607717038</v>
      </c>
      <c r="AU9" s="48">
        <v>0.35028248587570621</v>
      </c>
      <c r="AV9" s="48">
        <v>0.92307692307692313</v>
      </c>
      <c r="AW9" s="48">
        <v>0</v>
      </c>
      <c r="AX9">
        <v>1</v>
      </c>
      <c r="AY9" s="48">
        <v>0.96784565916398713</v>
      </c>
      <c r="AZ9" s="48">
        <v>0.24293785310734464</v>
      </c>
      <c r="BA9" s="48">
        <v>1</v>
      </c>
      <c r="BB9" s="49">
        <v>0.22222222222222221</v>
      </c>
      <c r="BC9" s="48"/>
      <c r="BD9" s="42" t="s">
        <v>6</v>
      </c>
      <c r="BE9" s="13">
        <f t="shared" si="12"/>
        <v>0.81672025723472674</v>
      </c>
      <c r="BF9" s="13">
        <f t="shared" si="9"/>
        <v>0.3728813559322034</v>
      </c>
      <c r="BG9" s="13">
        <f t="shared" si="9"/>
        <v>0</v>
      </c>
      <c r="BH9" s="13">
        <f t="shared" si="9"/>
        <v>0.77777777777777779</v>
      </c>
      <c r="BI9" s="13">
        <f t="shared" si="13"/>
        <v>0.93569131832797425</v>
      </c>
      <c r="BJ9" s="13">
        <f t="shared" si="10"/>
        <v>0.68926553672316382</v>
      </c>
      <c r="BK9" s="13">
        <f t="shared" si="10"/>
        <v>0.11538461538461539</v>
      </c>
      <c r="BL9" s="56">
        <f t="shared" si="10"/>
        <v>1</v>
      </c>
      <c r="BM9" s="48"/>
      <c r="BN9" s="48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5"/>
        <v>1.2069716775599129E-2</v>
      </c>
      <c r="CA9" s="13">
        <f t="shared" si="14"/>
        <v>6.0000000000000005E-2</v>
      </c>
      <c r="CB9" s="13">
        <f t="shared" si="14"/>
        <v>1.0893246187363801E-3</v>
      </c>
      <c r="CC9" s="13">
        <f t="shared" si="14"/>
        <v>2.0740740740740744E-2</v>
      </c>
      <c r="CD9" s="13">
        <f t="shared" si="14"/>
        <v>4.0229885057471271E-2</v>
      </c>
      <c r="CE9" s="13">
        <f t="shared" si="14"/>
        <v>0.2</v>
      </c>
      <c r="CF9" s="13">
        <f t="shared" si="14"/>
        <v>8.5227272727272721E-2</v>
      </c>
      <c r="CG9" s="13">
        <f t="shared" si="14"/>
        <v>0.23906250000000001</v>
      </c>
      <c r="CI9" s="4" t="s">
        <v>8</v>
      </c>
      <c r="CJ9" s="14">
        <f t="shared" si="4"/>
        <v>3.584227715230355E-2</v>
      </c>
      <c r="CK9" s="14">
        <f t="shared" si="4"/>
        <v>0.16144494577606605</v>
      </c>
      <c r="CL9" s="14">
        <f t="shared" si="4"/>
        <v>0.10932296625395384</v>
      </c>
      <c r="CM9" s="14">
        <f t="shared" si="4"/>
        <v>0.28845037627015502</v>
      </c>
      <c r="CO9" s="4" t="s">
        <v>8</v>
      </c>
      <c r="CP9" s="14">
        <f t="shared" si="5"/>
        <v>-0.25260809911785148</v>
      </c>
      <c r="CQ9" s="14">
        <f t="shared" si="6"/>
        <v>5.2121979522112213E-2</v>
      </c>
      <c r="CR9" s="97">
        <f t="shared" si="7"/>
        <v>7.6348326566344313E-2</v>
      </c>
      <c r="CS9" s="55">
        <f t="shared" si="8"/>
        <v>0.52735653607068889</v>
      </c>
      <c r="CU9" s="14"/>
      <c r="CW9" s="44">
        <f t="shared" si="11"/>
        <v>9</v>
      </c>
      <c r="CY9" s="14"/>
    </row>
    <row r="10" spans="1:103" ht="15.75" thickBot="1" x14ac:dyDescent="0.3">
      <c r="A10" s="42" t="s">
        <v>83</v>
      </c>
      <c r="B10" s="4" t="s">
        <v>9</v>
      </c>
      <c r="C10" s="5">
        <v>20</v>
      </c>
      <c r="D10" s="5">
        <v>30</v>
      </c>
      <c r="E10" s="5">
        <v>2</v>
      </c>
      <c r="F10" s="26">
        <v>1</v>
      </c>
      <c r="H10" s="42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6">
        <v>2</v>
      </c>
      <c r="T10" s="42"/>
      <c r="U10" s="5">
        <v>12</v>
      </c>
      <c r="V10" s="5">
        <v>52</v>
      </c>
      <c r="W10" s="53">
        <v>1</v>
      </c>
      <c r="X10" s="52">
        <v>1</v>
      </c>
      <c r="AD10" s="19"/>
      <c r="AL10" s="42" t="s">
        <v>9</v>
      </c>
      <c r="AM10" s="46">
        <f t="shared" si="0"/>
        <v>0.93569131832797425</v>
      </c>
      <c r="AN10" s="47">
        <f t="shared" si="1"/>
        <v>0.16949152542372881</v>
      </c>
      <c r="AO10" s="47">
        <f t="shared" si="2"/>
        <v>7.6923076923076927E-2</v>
      </c>
      <c r="AP10" s="87">
        <f t="shared" si="3"/>
        <v>0.88888888888888884</v>
      </c>
      <c r="AR10" s="42" t="s">
        <v>9</v>
      </c>
      <c r="AS10">
        <v>0</v>
      </c>
      <c r="AT10" s="48">
        <v>0.93569131832797425</v>
      </c>
      <c r="AU10" s="48">
        <v>0.16949152542372881</v>
      </c>
      <c r="AV10" s="48">
        <v>0.92307692307692313</v>
      </c>
      <c r="AW10" s="48">
        <v>0.1111111111111111</v>
      </c>
      <c r="AX10">
        <v>1</v>
      </c>
      <c r="AY10" s="48">
        <v>0.92926045016077174</v>
      </c>
      <c r="AZ10" s="48">
        <v>0.20338983050847459</v>
      </c>
      <c r="BA10" s="48">
        <v>0.96153846153846156</v>
      </c>
      <c r="BB10" s="49">
        <v>0.22222222222222221</v>
      </c>
      <c r="BC10" s="48"/>
      <c r="BD10" s="42" t="s">
        <v>8</v>
      </c>
      <c r="BE10" s="13">
        <f t="shared" si="12"/>
        <v>0.87781350482315113</v>
      </c>
      <c r="BF10" s="13">
        <f t="shared" si="9"/>
        <v>0.1864406779661017</v>
      </c>
      <c r="BG10" s="13">
        <f t="shared" si="9"/>
        <v>0</v>
      </c>
      <c r="BH10" s="13">
        <f t="shared" si="9"/>
        <v>0.66666666666666663</v>
      </c>
      <c r="BI10" s="13">
        <f t="shared" si="13"/>
        <v>0.96784565916398713</v>
      </c>
      <c r="BJ10" s="13">
        <f t="shared" si="10"/>
        <v>0.35028248587570621</v>
      </c>
      <c r="BK10" s="13">
        <f t="shared" si="10"/>
        <v>7.6923076923076927E-2</v>
      </c>
      <c r="BL10" s="56">
        <f t="shared" si="10"/>
        <v>1</v>
      </c>
      <c r="BM10" s="48"/>
      <c r="BN10" s="48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5"/>
        <v>1.0813111962537252E-2</v>
      </c>
      <c r="CA10" s="13">
        <f t="shared" si="14"/>
        <v>5.5747126436781612E-2</v>
      </c>
      <c r="CB10" s="13">
        <f t="shared" si="14"/>
        <v>4.2571306939123048E-3</v>
      </c>
      <c r="CC10" s="13">
        <f t="shared" si="14"/>
        <v>3.3971902937420168E-2</v>
      </c>
      <c r="CD10" s="13">
        <f t="shared" si="14"/>
        <v>0.11395589758768683</v>
      </c>
      <c r="CE10" s="13">
        <f t="shared" si="14"/>
        <v>0.2888856001183957</v>
      </c>
      <c r="CF10" s="13">
        <f t="shared" si="14"/>
        <v>5.3648068669527892E-2</v>
      </c>
      <c r="CG10" s="13">
        <f t="shared" si="14"/>
        <v>0.17864806866952787</v>
      </c>
      <c r="CI10" s="4" t="s">
        <v>9</v>
      </c>
      <c r="CJ10" s="14">
        <f t="shared" si="4"/>
        <v>1.7676925349317262E-2</v>
      </c>
      <c r="CK10" s="14">
        <f t="shared" si="4"/>
        <v>0.21946623505401305</v>
      </c>
      <c r="CL10" s="14">
        <f t="shared" si="4"/>
        <v>4.6822269425890808E-2</v>
      </c>
      <c r="CM10" s="14">
        <f t="shared" si="4"/>
        <v>0.30881033866580726</v>
      </c>
      <c r="CO10" s="4" t="s">
        <v>9</v>
      </c>
      <c r="CP10" s="14">
        <f t="shared" si="5"/>
        <v>-0.29113341331649001</v>
      </c>
      <c r="CQ10" s="14">
        <f t="shared" si="6"/>
        <v>0.17264396562812223</v>
      </c>
      <c r="CR10" s="97">
        <f t="shared" si="7"/>
        <v>1.9329888954713031E-2</v>
      </c>
      <c r="CS10" s="55">
        <f t="shared" si="8"/>
        <v>0.70573211816674031</v>
      </c>
      <c r="CU10" s="14"/>
      <c r="CW10" s="44">
        <f t="shared" si="11"/>
        <v>13</v>
      </c>
      <c r="CY10" s="14"/>
    </row>
    <row r="11" spans="1:103" ht="15.75" thickBot="1" x14ac:dyDescent="0.3">
      <c r="A11" s="42" t="s">
        <v>83</v>
      </c>
      <c r="B11" s="4" t="s">
        <v>10</v>
      </c>
      <c r="C11" s="5">
        <v>38</v>
      </c>
      <c r="D11" s="5">
        <v>30</v>
      </c>
      <c r="E11" s="5">
        <v>1</v>
      </c>
      <c r="F11" s="26">
        <v>3</v>
      </c>
      <c r="H11" s="42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6">
        <v>2</v>
      </c>
      <c r="T11" s="42"/>
      <c r="U11" s="5">
        <v>20</v>
      </c>
      <c r="V11" s="5">
        <v>54</v>
      </c>
      <c r="W11" s="53">
        <v>1</v>
      </c>
      <c r="X11" s="52">
        <v>1</v>
      </c>
      <c r="AD11" s="19"/>
      <c r="AL11" s="42" t="s">
        <v>10</v>
      </c>
      <c r="AM11" s="46">
        <f t="shared" si="0"/>
        <v>0.87781350482315113</v>
      </c>
      <c r="AN11" s="47">
        <f t="shared" si="1"/>
        <v>0.16949152542372881</v>
      </c>
      <c r="AO11" s="47">
        <f t="shared" si="2"/>
        <v>3.8461538461538464E-2</v>
      </c>
      <c r="AP11" s="87">
        <f t="shared" si="3"/>
        <v>0.66666666666666663</v>
      </c>
      <c r="AR11" s="42" t="s">
        <v>10</v>
      </c>
      <c r="AS11">
        <v>0</v>
      </c>
      <c r="AT11" s="48">
        <v>0.87781350482315113</v>
      </c>
      <c r="AU11" s="48">
        <v>0.16949152542372881</v>
      </c>
      <c r="AV11" s="48">
        <v>0.96153846153846156</v>
      </c>
      <c r="AW11" s="48">
        <v>0.33333333333333331</v>
      </c>
      <c r="AX11">
        <v>1</v>
      </c>
      <c r="AY11" s="48">
        <v>0.80064308681672025</v>
      </c>
      <c r="AZ11" s="48">
        <v>0.23728813559322035</v>
      </c>
      <c r="BA11" s="48">
        <v>0.96153846153846156</v>
      </c>
      <c r="BB11" s="49">
        <v>0.22222222222222221</v>
      </c>
      <c r="BC11" s="48"/>
      <c r="BD11" s="42" t="s">
        <v>9</v>
      </c>
      <c r="BE11" s="13">
        <f t="shared" si="12"/>
        <v>0.62700964630225076</v>
      </c>
      <c r="BF11" s="13">
        <f t="shared" si="9"/>
        <v>0.14124293785310735</v>
      </c>
      <c r="BG11" s="13">
        <f t="shared" si="9"/>
        <v>0</v>
      </c>
      <c r="BH11" s="13">
        <f t="shared" si="9"/>
        <v>0</v>
      </c>
      <c r="BI11" s="13">
        <f t="shared" si="13"/>
        <v>0.93569131832797425</v>
      </c>
      <c r="BJ11" s="13">
        <f t="shared" si="10"/>
        <v>1</v>
      </c>
      <c r="BK11" s="13">
        <f t="shared" si="10"/>
        <v>0.11538461538461539</v>
      </c>
      <c r="BL11" s="56">
        <f t="shared" si="10"/>
        <v>1</v>
      </c>
      <c r="BM11" s="48"/>
      <c r="BN11" s="48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5"/>
        <v>1.1930514585381843E-2</v>
      </c>
      <c r="CA11" s="13">
        <f t="shared" si="14"/>
        <v>5.9193706981317595E-2</v>
      </c>
      <c r="CB11" s="13">
        <f t="shared" si="14"/>
        <v>2.1850759313886163E-3</v>
      </c>
      <c r="CC11" s="13">
        <f t="shared" si="14"/>
        <v>2.3249207909974871E-2</v>
      </c>
      <c r="CD11" s="13">
        <f t="shared" si="14"/>
        <v>6.4445932373619008E-2</v>
      </c>
      <c r="CE11" s="13">
        <f t="shared" si="14"/>
        <v>0.16605289588215599</v>
      </c>
      <c r="CF11" s="13">
        <f t="shared" si="14"/>
        <v>0.12687555163283318</v>
      </c>
      <c r="CG11" s="13">
        <f t="shared" si="14"/>
        <v>0.26213592233009708</v>
      </c>
      <c r="CI11" s="4" t="s">
        <v>10</v>
      </c>
      <c r="CJ11" s="14">
        <f t="shared" si="4"/>
        <v>3.6981922691563314E-2</v>
      </c>
      <c r="CK11" s="14">
        <f t="shared" si="4"/>
        <v>0.21088595966714566</v>
      </c>
      <c r="CL11" s="14">
        <f t="shared" si="4"/>
        <v>0.10722278556435305</v>
      </c>
      <c r="CM11" s="14">
        <f t="shared" si="4"/>
        <v>0.33479165506767594</v>
      </c>
      <c r="CO11" s="4" t="s">
        <v>10</v>
      </c>
      <c r="CP11" s="14">
        <f t="shared" si="5"/>
        <v>-0.29780973237611263</v>
      </c>
      <c r="CQ11" s="14">
        <f t="shared" si="6"/>
        <v>0.1036631741027926</v>
      </c>
      <c r="CR11" s="97">
        <f t="shared" si="7"/>
        <v>9.4487681982756856E-3</v>
      </c>
      <c r="CS11" s="55">
        <f t="shared" si="8"/>
        <v>0.60363880524245672</v>
      </c>
      <c r="CU11" s="14"/>
      <c r="CW11" s="44">
        <f t="shared" si="11"/>
        <v>14</v>
      </c>
      <c r="CY11" s="14"/>
    </row>
    <row r="12" spans="1:103" ht="15.75" thickBot="1" x14ac:dyDescent="0.3">
      <c r="A12" s="42" t="s">
        <v>83</v>
      </c>
      <c r="B12" s="4" t="s">
        <v>11</v>
      </c>
      <c r="C12" s="5">
        <v>0</v>
      </c>
      <c r="D12" s="5">
        <v>66</v>
      </c>
      <c r="E12" s="5">
        <v>0</v>
      </c>
      <c r="F12" s="26">
        <v>0</v>
      </c>
      <c r="H12" s="42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6">
        <v>0</v>
      </c>
      <c r="T12" s="42"/>
      <c r="U12" s="5">
        <v>20</v>
      </c>
      <c r="V12" s="5">
        <v>56</v>
      </c>
      <c r="W12" s="53">
        <v>2</v>
      </c>
      <c r="X12" s="52">
        <v>1</v>
      </c>
      <c r="AD12" s="19"/>
      <c r="AL12" s="42" t="s">
        <v>11</v>
      </c>
      <c r="AM12" s="46">
        <f t="shared" si="0"/>
        <v>1</v>
      </c>
      <c r="AN12" s="47">
        <f t="shared" si="1"/>
        <v>0.3728813559322034</v>
      </c>
      <c r="AO12" s="47">
        <f t="shared" si="2"/>
        <v>0</v>
      </c>
      <c r="AP12" s="87">
        <f t="shared" si="3"/>
        <v>1</v>
      </c>
      <c r="AR12" s="42" t="s">
        <v>11</v>
      </c>
      <c r="AS12">
        <v>0</v>
      </c>
      <c r="AT12" s="48">
        <v>1</v>
      </c>
      <c r="AU12" s="48">
        <v>0.3728813559322034</v>
      </c>
      <c r="AV12" s="48">
        <v>1</v>
      </c>
      <c r="AW12" s="48">
        <v>0</v>
      </c>
      <c r="AX12">
        <v>1</v>
      </c>
      <c r="AY12" s="48">
        <v>0.99035369774919613</v>
      </c>
      <c r="AZ12" s="48">
        <v>0.49717514124293788</v>
      </c>
      <c r="BA12" s="48">
        <v>1</v>
      </c>
      <c r="BB12" s="49">
        <v>0</v>
      </c>
      <c r="BC12" s="48"/>
      <c r="BD12" s="42" t="s">
        <v>10</v>
      </c>
      <c r="BE12" s="13">
        <f t="shared" si="12"/>
        <v>0.54019292604501612</v>
      </c>
      <c r="BF12" s="13">
        <f t="shared" si="9"/>
        <v>0.16949152542372881</v>
      </c>
      <c r="BG12" s="13">
        <f t="shared" si="9"/>
        <v>3.8461538461538464E-2</v>
      </c>
      <c r="BH12" s="13">
        <f t="shared" si="9"/>
        <v>0.33333333333333331</v>
      </c>
      <c r="BI12" s="13">
        <f t="shared" si="13"/>
        <v>0.87781350482315113</v>
      </c>
      <c r="BJ12" s="13">
        <f t="shared" si="10"/>
        <v>0.31638418079096048</v>
      </c>
      <c r="BK12" s="13">
        <f t="shared" si="10"/>
        <v>0.34615384615384615</v>
      </c>
      <c r="BL12" s="56">
        <f t="shared" si="10"/>
        <v>0.77777777777777779</v>
      </c>
      <c r="BM12" s="48"/>
      <c r="BN12" s="48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5"/>
        <v>7.098007098007098E-3</v>
      </c>
      <c r="CA12" s="13">
        <f t="shared" si="14"/>
        <v>4.7665847665847666E-2</v>
      </c>
      <c r="CB12" s="13">
        <f t="shared" si="14"/>
        <v>3.640003640003641E-3</v>
      </c>
      <c r="CC12" s="13">
        <f t="shared" si="14"/>
        <v>5.9113659113659116E-2</v>
      </c>
      <c r="CD12" s="13">
        <f t="shared" si="14"/>
        <v>3.05698214722426E-2</v>
      </c>
      <c r="CE12" s="13">
        <f t="shared" si="14"/>
        <v>0.29682423226076926</v>
      </c>
      <c r="CF12" s="13">
        <f t="shared" si="14"/>
        <v>0</v>
      </c>
      <c r="CG12" s="13">
        <f t="shared" si="14"/>
        <v>0.17325227963525835</v>
      </c>
      <c r="CI12" s="4" t="s">
        <v>21</v>
      </c>
      <c r="CJ12" s="14">
        <f>(BZ21+CD21+BZ38+CD38)/$T$41</f>
        <v>6.7757939615993761E-3</v>
      </c>
      <c r="CK12" s="14">
        <f t="shared" ref="CK12:CM12" si="16">(CA21+CE21+CA38+CE38)/$T$41</f>
        <v>0.24412937717868033</v>
      </c>
      <c r="CL12" s="14">
        <f t="shared" si="16"/>
        <v>6.1759562461585316E-2</v>
      </c>
      <c r="CM12" s="14">
        <f t="shared" si="16"/>
        <v>0.22188496222198609</v>
      </c>
      <c r="CO12" s="4" t="s">
        <v>21</v>
      </c>
      <c r="CP12" s="14">
        <f t="shared" si="5"/>
        <v>-0.2151091682603867</v>
      </c>
      <c r="CQ12" s="14">
        <f t="shared" si="6"/>
        <v>0.18236981471709501</v>
      </c>
      <c r="CR12" s="97">
        <f t="shared" si="7"/>
        <v>0.13184769092129592</v>
      </c>
      <c r="CS12" s="55">
        <f t="shared" si="8"/>
        <v>0.7201266203540666</v>
      </c>
      <c r="CU12" s="14"/>
      <c r="CW12" s="44">
        <f t="shared" si="11"/>
        <v>4</v>
      </c>
      <c r="CY12" s="14"/>
    </row>
    <row r="13" spans="1:103" ht="15.75" thickBot="1" x14ac:dyDescent="0.3">
      <c r="A13" s="42" t="s">
        <v>83</v>
      </c>
      <c r="B13" s="4" t="s">
        <v>12</v>
      </c>
      <c r="C13" s="5">
        <v>49</v>
      </c>
      <c r="D13" s="5">
        <v>29</v>
      </c>
      <c r="E13" s="5">
        <v>1</v>
      </c>
      <c r="F13" s="26">
        <v>0</v>
      </c>
      <c r="H13" s="42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6">
        <v>7</v>
      </c>
      <c r="T13" s="42"/>
      <c r="U13" s="5">
        <v>28</v>
      </c>
      <c r="V13" s="5">
        <v>60</v>
      </c>
      <c r="W13" s="53">
        <v>2</v>
      </c>
      <c r="X13" s="52">
        <v>1</v>
      </c>
      <c r="AD13" s="19"/>
      <c r="AL13" s="42" t="s">
        <v>12</v>
      </c>
      <c r="AM13" s="46">
        <f t="shared" si="0"/>
        <v>0.842443729903537</v>
      </c>
      <c r="AN13" s="47">
        <f t="shared" si="1"/>
        <v>0.16384180790960451</v>
      </c>
      <c r="AO13" s="47">
        <f t="shared" si="2"/>
        <v>3.8461538461538464E-2</v>
      </c>
      <c r="AP13" s="87">
        <f t="shared" si="3"/>
        <v>1</v>
      </c>
      <c r="AR13" s="42" t="s">
        <v>12</v>
      </c>
      <c r="AS13">
        <v>0</v>
      </c>
      <c r="AT13" s="48">
        <v>0.842443729903537</v>
      </c>
      <c r="AU13" s="48">
        <v>0.16384180790960451</v>
      </c>
      <c r="AV13" s="48">
        <v>0.96153846153846156</v>
      </c>
      <c r="AW13" s="48">
        <v>0</v>
      </c>
      <c r="AX13">
        <v>1</v>
      </c>
      <c r="AY13" s="48">
        <v>0</v>
      </c>
      <c r="AZ13" s="48">
        <v>0.34463276836158191</v>
      </c>
      <c r="BA13" s="48">
        <v>0.38461538461538464</v>
      </c>
      <c r="BB13" s="49">
        <v>0.77777777777777779</v>
      </c>
      <c r="BC13" s="48"/>
      <c r="BD13" s="42" t="s">
        <v>11</v>
      </c>
      <c r="BE13" s="13">
        <f t="shared" si="12"/>
        <v>0.99035369774919613</v>
      </c>
      <c r="BF13" s="13">
        <f t="shared" si="9"/>
        <v>0.3728813559322034</v>
      </c>
      <c r="BG13" s="13">
        <f t="shared" si="9"/>
        <v>0</v>
      </c>
      <c r="BH13" s="13">
        <f t="shared" si="9"/>
        <v>1</v>
      </c>
      <c r="BI13" s="13">
        <f t="shared" si="13"/>
        <v>1</v>
      </c>
      <c r="BJ13" s="13">
        <f t="shared" si="10"/>
        <v>0.63276836158192096</v>
      </c>
      <c r="BK13" s="13">
        <f t="shared" si="10"/>
        <v>0</v>
      </c>
      <c r="BL13" s="56">
        <f t="shared" si="10"/>
        <v>1</v>
      </c>
      <c r="BM13" s="48"/>
      <c r="BN13" s="48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5"/>
        <v>5.9829059829059842E-3</v>
      </c>
      <c r="CA13" s="13">
        <f t="shared" si="14"/>
        <v>4.3749999999999997E-2</v>
      </c>
      <c r="CB13" s="13">
        <f t="shared" si="14"/>
        <v>6.7663817663817663E-3</v>
      </c>
      <c r="CC13" s="13">
        <f t="shared" si="14"/>
        <v>7.1296296296296288E-2</v>
      </c>
      <c r="CD13" s="13">
        <f t="shared" si="14"/>
        <v>5.9453032104637329E-2</v>
      </c>
      <c r="CE13" s="13">
        <f t="shared" si="14"/>
        <v>0.1521997621878716</v>
      </c>
      <c r="CF13" s="13">
        <f t="shared" si="14"/>
        <v>0.1354679802955665</v>
      </c>
      <c r="CG13" s="13">
        <f t="shared" si="14"/>
        <v>0.27155172413793105</v>
      </c>
      <c r="CI13" s="4" t="s">
        <v>11</v>
      </c>
      <c r="CJ13" s="14">
        <f>(BZ14+CD14+BZ31+CD31)/$T$41</f>
        <v>6.2695346712639155E-2</v>
      </c>
      <c r="CK13" s="14">
        <f t="shared" ref="CK13:CM13" si="17">(CA14+CE14+CA31+CE31)/$T$41</f>
        <v>0.2001320578941608</v>
      </c>
      <c r="CL13" s="14">
        <f t="shared" si="17"/>
        <v>8.7970901907073393E-2</v>
      </c>
      <c r="CM13" s="14">
        <f t="shared" si="17"/>
        <v>0.20229210782842255</v>
      </c>
      <c r="CO13" s="4" t="s">
        <v>11</v>
      </c>
      <c r="CP13" s="14">
        <f t="shared" si="5"/>
        <v>-0.1395967611157834</v>
      </c>
      <c r="CQ13" s="14">
        <f t="shared" si="6"/>
        <v>0.11216115598708741</v>
      </c>
      <c r="CR13" s="97">
        <f t="shared" si="7"/>
        <v>0.24360795985716413</v>
      </c>
      <c r="CS13" s="55">
        <f t="shared" si="8"/>
        <v>0.61621603296852046</v>
      </c>
      <c r="CU13" s="14"/>
      <c r="CW13" s="44">
        <f t="shared" si="11"/>
        <v>2</v>
      </c>
      <c r="CY13" s="14"/>
    </row>
    <row r="14" spans="1:103" ht="15.75" thickBot="1" x14ac:dyDescent="0.3">
      <c r="A14" s="42" t="s">
        <v>83</v>
      </c>
      <c r="B14" s="4" t="s">
        <v>13</v>
      </c>
      <c r="C14" s="5">
        <v>11</v>
      </c>
      <c r="D14" s="5">
        <v>54</v>
      </c>
      <c r="E14" s="5">
        <v>2</v>
      </c>
      <c r="F14" s="26">
        <v>0</v>
      </c>
      <c r="H14" s="42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6">
        <v>1</v>
      </c>
      <c r="T14" s="42"/>
      <c r="U14" s="5">
        <v>28</v>
      </c>
      <c r="V14" s="5">
        <v>63</v>
      </c>
      <c r="W14" s="53">
        <v>2</v>
      </c>
      <c r="X14" s="5">
        <v>2</v>
      </c>
      <c r="AD14" s="19"/>
      <c r="AL14" s="42" t="s">
        <v>13</v>
      </c>
      <c r="AM14" s="46">
        <f t="shared" si="0"/>
        <v>0.96463022508038587</v>
      </c>
      <c r="AN14" s="47">
        <f t="shared" si="1"/>
        <v>0.30508474576271188</v>
      </c>
      <c r="AO14" s="47">
        <f t="shared" si="2"/>
        <v>7.6923076923076927E-2</v>
      </c>
      <c r="AP14" s="87">
        <f t="shared" si="3"/>
        <v>1</v>
      </c>
      <c r="AR14" s="42" t="s">
        <v>13</v>
      </c>
      <c r="AS14">
        <v>0</v>
      </c>
      <c r="AT14" s="48">
        <v>0.96463022508038587</v>
      </c>
      <c r="AU14" s="48">
        <v>0.30508474576271188</v>
      </c>
      <c r="AV14" s="48">
        <v>0.92307692307692313</v>
      </c>
      <c r="AW14" s="48">
        <v>0</v>
      </c>
      <c r="AX14">
        <v>1</v>
      </c>
      <c r="AY14" s="48">
        <v>0.977491961414791</v>
      </c>
      <c r="AZ14" s="48">
        <v>0.38418079096045199</v>
      </c>
      <c r="BA14" s="48">
        <v>0.88461538461538458</v>
      </c>
      <c r="BB14" s="49">
        <v>0.1111111111111111</v>
      </c>
      <c r="BC14" s="48"/>
      <c r="BD14" s="42" t="s">
        <v>12</v>
      </c>
      <c r="BE14" s="13">
        <f t="shared" si="12"/>
        <v>0</v>
      </c>
      <c r="BF14" s="13">
        <f t="shared" si="9"/>
        <v>0.12429378531073447</v>
      </c>
      <c r="BG14" s="13">
        <f t="shared" si="9"/>
        <v>3.8461538461538464E-2</v>
      </c>
      <c r="BH14" s="13">
        <f t="shared" si="9"/>
        <v>0.22222222222222221</v>
      </c>
      <c r="BI14" s="13">
        <f t="shared" si="13"/>
        <v>0.97106109324758838</v>
      </c>
      <c r="BJ14" s="13">
        <f t="shared" si="10"/>
        <v>0.41807909604519772</v>
      </c>
      <c r="BK14" s="13">
        <f t="shared" si="10"/>
        <v>0.61538461538461542</v>
      </c>
      <c r="BL14" s="56">
        <f t="shared" si="10"/>
        <v>1</v>
      </c>
      <c r="BM14" s="48"/>
      <c r="BN14" s="48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5"/>
        <v>1.453172918141071E-2</v>
      </c>
      <c r="CA14" s="13">
        <f t="shared" si="14"/>
        <v>6.6029723991507416E-2</v>
      </c>
      <c r="CB14" s="13">
        <f t="shared" si="14"/>
        <v>0</v>
      </c>
      <c r="CC14" s="13">
        <f t="shared" si="14"/>
        <v>1.9815994338287361E-3</v>
      </c>
      <c r="CD14" s="13">
        <f t="shared" si="14"/>
        <v>0.1190660275243544</v>
      </c>
      <c r="CE14" s="13">
        <f t="shared" si="14"/>
        <v>0.27709911860213393</v>
      </c>
      <c r="CF14" s="13">
        <f t="shared" si="14"/>
        <v>6.6245413779046053E-2</v>
      </c>
      <c r="CG14" s="13">
        <f t="shared" si="14"/>
        <v>0.18665919282511212</v>
      </c>
      <c r="CI14" s="4" t="s">
        <v>12</v>
      </c>
      <c r="CJ14" s="14">
        <f t="shared" ref="CJ14:CJ19" si="18">(BZ15+CD15+BZ32+CD32)/$T$41</f>
        <v>2.3339988800372562E-2</v>
      </c>
      <c r="CK14" s="14">
        <f t="shared" ref="CK14:CK19" si="19">(CA15+CE15+CA32+CE32)/$T$41</f>
        <v>0.26536637403481772</v>
      </c>
      <c r="CL14" s="14">
        <f t="shared" ref="CL14:CL19" si="20">(CB15+CF15+CB32+CF32)/$T$41</f>
        <v>6.2355973018900147E-2</v>
      </c>
      <c r="CM14" s="14">
        <f t="shared" ref="CM14:CM19" si="21">(CC15+CG15+CC32+CG32)/$T$41</f>
        <v>0.32341137890436455</v>
      </c>
      <c r="CO14" s="4" t="s">
        <v>12</v>
      </c>
      <c r="CP14" s="14">
        <f t="shared" si="5"/>
        <v>-0.30007139010399198</v>
      </c>
      <c r="CQ14" s="14">
        <f t="shared" si="6"/>
        <v>0.20301040101591758</v>
      </c>
      <c r="CR14" s="97">
        <f t="shared" si="7"/>
        <v>6.1014576639333287E-3</v>
      </c>
      <c r="CS14" s="55">
        <f t="shared" si="8"/>
        <v>0.75067520916190289</v>
      </c>
      <c r="CU14" s="14"/>
      <c r="CW14" s="44">
        <f t="shared" si="11"/>
        <v>15</v>
      </c>
      <c r="CY14" s="14"/>
    </row>
    <row r="15" spans="1:103" ht="15.75" thickBot="1" x14ac:dyDescent="0.3">
      <c r="A15" s="42" t="s">
        <v>83</v>
      </c>
      <c r="B15" s="4" t="s">
        <v>14</v>
      </c>
      <c r="C15" s="5">
        <v>21</v>
      </c>
      <c r="D15" s="5">
        <v>50</v>
      </c>
      <c r="E15" s="5">
        <v>0</v>
      </c>
      <c r="F15" s="26">
        <v>0</v>
      </c>
      <c r="H15" s="42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6">
        <v>1</v>
      </c>
      <c r="T15" s="42"/>
      <c r="U15" s="53">
        <v>51</v>
      </c>
      <c r="V15" s="5">
        <v>66</v>
      </c>
      <c r="W15" s="53">
        <v>3</v>
      </c>
      <c r="X15" s="5">
        <v>5</v>
      </c>
      <c r="AD15" s="19"/>
      <c r="AL15" s="42" t="s">
        <v>14</v>
      </c>
      <c r="AM15" s="46">
        <f t="shared" si="0"/>
        <v>0.932475884244373</v>
      </c>
      <c r="AN15" s="47">
        <f t="shared" si="1"/>
        <v>0.2824858757062147</v>
      </c>
      <c r="AO15" s="47">
        <f t="shared" si="2"/>
        <v>0</v>
      </c>
      <c r="AP15" s="87">
        <f t="shared" si="3"/>
        <v>1</v>
      </c>
      <c r="AR15" s="42" t="s">
        <v>14</v>
      </c>
      <c r="AS15">
        <v>0</v>
      </c>
      <c r="AT15" s="48">
        <v>0.932475884244373</v>
      </c>
      <c r="AU15" s="48">
        <v>0.2824858757062147</v>
      </c>
      <c r="AV15" s="48">
        <v>1</v>
      </c>
      <c r="AW15" s="48">
        <v>0</v>
      </c>
      <c r="AX15">
        <v>1</v>
      </c>
      <c r="AY15" s="48">
        <v>0.92282958199356913</v>
      </c>
      <c r="AZ15" s="48">
        <v>0.32768361581920902</v>
      </c>
      <c r="BA15" s="48">
        <v>0.96153846153846156</v>
      </c>
      <c r="BB15" s="49">
        <v>0.1111111111111111</v>
      </c>
      <c r="BC15" s="48"/>
      <c r="BD15" s="42" t="s">
        <v>13</v>
      </c>
      <c r="BE15" s="13">
        <f t="shared" si="12"/>
        <v>0.93569131832797425</v>
      </c>
      <c r="BF15" s="13">
        <f t="shared" si="9"/>
        <v>0.30508474576271188</v>
      </c>
      <c r="BG15" s="13">
        <f t="shared" si="9"/>
        <v>0</v>
      </c>
      <c r="BH15" s="13">
        <f t="shared" si="9"/>
        <v>0.44444444444444442</v>
      </c>
      <c r="BI15" s="13">
        <f t="shared" si="13"/>
        <v>0.977491961414791</v>
      </c>
      <c r="BJ15" s="13">
        <f t="shared" si="10"/>
        <v>0.65536723163841804</v>
      </c>
      <c r="BK15" s="13">
        <f t="shared" si="10"/>
        <v>0.11538461538461539</v>
      </c>
      <c r="BL15" s="56">
        <f t="shared" si="10"/>
        <v>1</v>
      </c>
      <c r="BM15" s="48"/>
      <c r="BN15" s="48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5"/>
        <v>0</v>
      </c>
      <c r="CA15" s="13">
        <f t="shared" si="14"/>
        <v>3.2843936922240344E-2</v>
      </c>
      <c r="CB15" s="13">
        <f t="shared" si="14"/>
        <v>1.0875475802066355E-3</v>
      </c>
      <c r="CC15" s="13">
        <f t="shared" si="14"/>
        <v>0.10522627031599299</v>
      </c>
      <c r="CD15" s="13">
        <f t="shared" si="14"/>
        <v>3.8648797871806459E-2</v>
      </c>
      <c r="CE15" s="13">
        <f t="shared" si="14"/>
        <v>0.17828640265020326</v>
      </c>
      <c r="CF15" s="13">
        <f t="shared" si="14"/>
        <v>0.10222310440651053</v>
      </c>
      <c r="CG15" s="13">
        <f t="shared" si="14"/>
        <v>0.25382096069868998</v>
      </c>
      <c r="CI15" s="4" t="s">
        <v>13</v>
      </c>
      <c r="CJ15" s="14">
        <f t="shared" si="18"/>
        <v>4.8900316315706252E-2</v>
      </c>
      <c r="CK15" s="14">
        <f t="shared" si="19"/>
        <v>0.21840966420158983</v>
      </c>
      <c r="CL15" s="14">
        <f t="shared" si="20"/>
        <v>7.3086808973700138E-2</v>
      </c>
      <c r="CM15" s="14">
        <f t="shared" si="21"/>
        <v>0.2684072067113118</v>
      </c>
      <c r="CO15" s="4" t="s">
        <v>13</v>
      </c>
      <c r="CP15" s="14">
        <f t="shared" si="5"/>
        <v>-0.21950689039560556</v>
      </c>
      <c r="CQ15" s="14">
        <f t="shared" si="6"/>
        <v>0.14532285522788968</v>
      </c>
      <c r="CR15" s="97">
        <f t="shared" si="7"/>
        <v>0.12533895113769858</v>
      </c>
      <c r="CS15" s="55">
        <f t="shared" si="8"/>
        <v>0.6652961850344622</v>
      </c>
      <c r="CU15" s="14"/>
      <c r="CW15" s="44">
        <f t="shared" si="11"/>
        <v>5</v>
      </c>
      <c r="CY15" s="14"/>
    </row>
    <row r="16" spans="1:103" ht="15.75" thickBot="1" x14ac:dyDescent="0.3">
      <c r="A16" s="42" t="s">
        <v>83</v>
      </c>
      <c r="B16" s="4" t="s">
        <v>15</v>
      </c>
      <c r="C16" s="5">
        <v>9</v>
      </c>
      <c r="D16" s="5">
        <v>18</v>
      </c>
      <c r="E16" s="5">
        <v>1</v>
      </c>
      <c r="F16" s="26">
        <v>1</v>
      </c>
      <c r="H16" s="42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6">
        <v>1</v>
      </c>
      <c r="T16" s="42"/>
      <c r="U16" s="53">
        <v>52</v>
      </c>
      <c r="V16" s="52">
        <v>70</v>
      </c>
      <c r="W16" s="5">
        <v>4</v>
      </c>
      <c r="X16" s="53">
        <v>6</v>
      </c>
      <c r="AD16" s="19"/>
      <c r="AL16" s="42" t="s">
        <v>15</v>
      </c>
      <c r="AM16" s="46">
        <f t="shared" si="0"/>
        <v>0.97106109324758838</v>
      </c>
      <c r="AN16" s="47">
        <f t="shared" si="1"/>
        <v>0.10169491525423729</v>
      </c>
      <c r="AO16" s="47">
        <f t="shared" si="2"/>
        <v>3.8461538461538464E-2</v>
      </c>
      <c r="AP16" s="87">
        <f t="shared" si="3"/>
        <v>0.88888888888888884</v>
      </c>
      <c r="AR16" s="42" t="s">
        <v>15</v>
      </c>
      <c r="AS16">
        <v>0</v>
      </c>
      <c r="AT16" s="48">
        <v>0.97106109324758838</v>
      </c>
      <c r="AU16" s="48">
        <v>0.10169491525423729</v>
      </c>
      <c r="AV16" s="48">
        <v>0.96153846153846156</v>
      </c>
      <c r="AW16" s="48">
        <v>0.1111111111111111</v>
      </c>
      <c r="AX16">
        <v>1</v>
      </c>
      <c r="AY16" s="48">
        <v>0.99035369774919613</v>
      </c>
      <c r="AZ16" s="48">
        <v>0.14124293785310735</v>
      </c>
      <c r="BA16" s="48">
        <v>1</v>
      </c>
      <c r="BB16" s="49">
        <v>0.1111111111111111</v>
      </c>
      <c r="BC16" s="48"/>
      <c r="BD16" s="42" t="s">
        <v>14</v>
      </c>
      <c r="BE16" s="13">
        <f t="shared" si="12"/>
        <v>0.80064308681672025</v>
      </c>
      <c r="BF16" s="13">
        <f t="shared" si="9"/>
        <v>0.2824858757062147</v>
      </c>
      <c r="BG16" s="13">
        <f t="shared" si="9"/>
        <v>0</v>
      </c>
      <c r="BH16" s="13">
        <f t="shared" si="9"/>
        <v>0.33333333333333331</v>
      </c>
      <c r="BI16" s="13">
        <f t="shared" si="13"/>
        <v>0.932475884244373</v>
      </c>
      <c r="BJ16" s="13">
        <f t="shared" si="10"/>
        <v>0.50847457627118642</v>
      </c>
      <c r="BK16" s="13">
        <f t="shared" si="10"/>
        <v>3.8461538461538464E-2</v>
      </c>
      <c r="BL16" s="56">
        <f t="shared" si="10"/>
        <v>1</v>
      </c>
      <c r="BM16" s="48"/>
      <c r="BN16" s="48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5"/>
        <v>1.3305898491083677E-2</v>
      </c>
      <c r="CA16" s="13">
        <f t="shared" si="14"/>
        <v>6.2551440329218097E-2</v>
      </c>
      <c r="CB16" s="13">
        <f t="shared" si="14"/>
        <v>1.6003657978966616E-3</v>
      </c>
      <c r="CC16" s="13">
        <f t="shared" si="14"/>
        <v>1.2802926383173301E-2</v>
      </c>
      <c r="CD16" s="13">
        <f t="shared" si="14"/>
        <v>9.0895974606838861E-2</v>
      </c>
      <c r="CE16" s="13">
        <f t="shared" si="14"/>
        <v>0.26778242677824265</v>
      </c>
      <c r="CF16" s="13">
        <f t="shared" si="14"/>
        <v>5.8006846709775593E-2</v>
      </c>
      <c r="CG16" s="13">
        <f t="shared" si="14"/>
        <v>0.19299163179916318</v>
      </c>
      <c r="CI16" s="4" t="s">
        <v>14</v>
      </c>
      <c r="CJ16" s="14">
        <f t="shared" si="18"/>
        <v>4.8418601751123079E-2</v>
      </c>
      <c r="CK16" s="14">
        <f t="shared" si="19"/>
        <v>0.17031768694321917</v>
      </c>
      <c r="CL16" s="14">
        <f t="shared" si="20"/>
        <v>9.7503786837757123E-2</v>
      </c>
      <c r="CM16" s="14">
        <f t="shared" si="21"/>
        <v>0.30790420743641789</v>
      </c>
      <c r="CO16" s="4" t="s">
        <v>14</v>
      </c>
      <c r="CP16" s="14">
        <f t="shared" si="5"/>
        <v>-0.25948560568529483</v>
      </c>
      <c r="CQ16" s="14">
        <f t="shared" si="6"/>
        <v>7.2813900105462043E-2</v>
      </c>
      <c r="CR16" s="97">
        <f t="shared" si="7"/>
        <v>6.6169443219217416E-2</v>
      </c>
      <c r="CS16" s="55">
        <f t="shared" si="8"/>
        <v>0.55798110091559416</v>
      </c>
      <c r="CU16" s="14"/>
      <c r="CW16" s="44">
        <f t="shared" si="11"/>
        <v>10</v>
      </c>
      <c r="CY16" s="14"/>
    </row>
    <row r="17" spans="1:103" ht="15.75" thickBot="1" x14ac:dyDescent="0.3">
      <c r="A17" s="42" t="s">
        <v>83</v>
      </c>
      <c r="B17" s="4" t="s">
        <v>16</v>
      </c>
      <c r="C17" s="5">
        <v>38</v>
      </c>
      <c r="D17" s="5">
        <v>40</v>
      </c>
      <c r="E17" s="5">
        <v>1</v>
      </c>
      <c r="F17" s="26">
        <v>3</v>
      </c>
      <c r="H17" s="42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6">
        <v>2</v>
      </c>
      <c r="T17" s="42"/>
      <c r="U17" s="53">
        <v>79</v>
      </c>
      <c r="V17" s="52">
        <v>72</v>
      </c>
      <c r="W17" s="5">
        <v>8</v>
      </c>
      <c r="X17" s="53">
        <v>6</v>
      </c>
      <c r="AD17" s="19"/>
      <c r="AL17" s="42" t="s">
        <v>16</v>
      </c>
      <c r="AM17" s="46">
        <f t="shared" si="0"/>
        <v>0.87781350482315113</v>
      </c>
      <c r="AN17" s="47">
        <f t="shared" si="1"/>
        <v>0.22598870056497175</v>
      </c>
      <c r="AO17" s="47">
        <f t="shared" si="2"/>
        <v>3.8461538461538464E-2</v>
      </c>
      <c r="AP17" s="87">
        <f t="shared" si="3"/>
        <v>0.66666666666666663</v>
      </c>
      <c r="AR17" s="42" t="s">
        <v>16</v>
      </c>
      <c r="AS17">
        <v>0</v>
      </c>
      <c r="AT17" s="48">
        <v>0.87781350482315113</v>
      </c>
      <c r="AU17" s="48">
        <v>0.22598870056497175</v>
      </c>
      <c r="AV17" s="48">
        <v>0.96153846153846156</v>
      </c>
      <c r="AW17" s="48">
        <v>0.33333333333333331</v>
      </c>
      <c r="AX17">
        <v>1</v>
      </c>
      <c r="AY17" s="48">
        <v>0.83922829581993574</v>
      </c>
      <c r="AZ17" s="48">
        <v>0.22033898305084745</v>
      </c>
      <c r="BA17" s="48">
        <v>0.88461538461538458</v>
      </c>
      <c r="BB17" s="49">
        <v>0.22222222222222221</v>
      </c>
      <c r="BC17" s="48"/>
      <c r="BD17" s="42" t="s">
        <v>15</v>
      </c>
      <c r="BE17" s="13">
        <f t="shared" si="12"/>
        <v>0.96784565916398713</v>
      </c>
      <c r="BF17" s="13">
        <f t="shared" si="9"/>
        <v>0.10169491525423729</v>
      </c>
      <c r="BG17" s="13">
        <f t="shared" si="9"/>
        <v>0</v>
      </c>
      <c r="BH17" s="13">
        <f t="shared" si="9"/>
        <v>0.77777777777777779</v>
      </c>
      <c r="BI17" s="13">
        <f t="shared" si="13"/>
        <v>0.99035369774919613</v>
      </c>
      <c r="BJ17" s="13">
        <f t="shared" si="10"/>
        <v>0.42372881355932202</v>
      </c>
      <c r="BK17" s="13">
        <f t="shared" si="10"/>
        <v>0.11538461538461539</v>
      </c>
      <c r="BL17" s="56">
        <f t="shared" si="10"/>
        <v>1</v>
      </c>
      <c r="BM17" s="48"/>
      <c r="BN17" s="48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5"/>
        <v>1.047979797979798E-2</v>
      </c>
      <c r="CA17" s="13">
        <f t="shared" si="14"/>
        <v>5.4924242424242424E-2</v>
      </c>
      <c r="CB17" s="13">
        <f t="shared" si="14"/>
        <v>4.4191919191919182E-3</v>
      </c>
      <c r="CC17" s="13">
        <f t="shared" si="14"/>
        <v>3.6531986531986534E-2</v>
      </c>
      <c r="CD17" s="13">
        <f t="shared" si="14"/>
        <v>9.2695587690025963E-2</v>
      </c>
      <c r="CE17" s="13">
        <f t="shared" si="14"/>
        <v>0.22882567932623551</v>
      </c>
      <c r="CF17" s="13">
        <f t="shared" si="14"/>
        <v>9.1118558860494345E-2</v>
      </c>
      <c r="CG17" s="13">
        <f t="shared" si="14"/>
        <v>0.21947004608294932</v>
      </c>
      <c r="CI17" s="4" t="s">
        <v>15</v>
      </c>
      <c r="CJ17" s="14">
        <f>(BZ18+CD18+BZ35+CD35)/$T$41</f>
        <v>2.11032013224015E-2</v>
      </c>
      <c r="CK17" s="14">
        <f t="shared" si="19"/>
        <v>0.18353310854229721</v>
      </c>
      <c r="CL17" s="14">
        <f t="shared" si="20"/>
        <v>9.1932895470408699E-2</v>
      </c>
      <c r="CM17" s="14">
        <f t="shared" si="21"/>
        <v>0.26018695394060715</v>
      </c>
      <c r="CO17" s="4" t="s">
        <v>15</v>
      </c>
      <c r="CP17" s="14">
        <f t="shared" si="5"/>
        <v>-0.23908375261820564</v>
      </c>
      <c r="CQ17" s="14">
        <f t="shared" si="6"/>
        <v>9.1600213071888509E-2</v>
      </c>
      <c r="CR17" s="116">
        <f t="shared" si="7"/>
        <v>9.6364700817106227E-2</v>
      </c>
      <c r="CS17" s="55">
        <f t="shared" si="8"/>
        <v>0.58578531837909842</v>
      </c>
      <c r="CU17" s="14"/>
      <c r="CW17" s="44">
        <f t="shared" si="11"/>
        <v>7</v>
      </c>
      <c r="CY17" s="14"/>
    </row>
    <row r="18" spans="1:103" ht="15.75" thickBot="1" x14ac:dyDescent="0.3">
      <c r="A18" s="42" t="s">
        <v>83</v>
      </c>
      <c r="B18" s="4" t="s">
        <v>17</v>
      </c>
      <c r="C18" s="5">
        <v>6</v>
      </c>
      <c r="D18" s="5">
        <v>9</v>
      </c>
      <c r="E18" s="5">
        <v>0</v>
      </c>
      <c r="F18" s="26">
        <v>0</v>
      </c>
      <c r="H18" s="42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6">
        <v>0</v>
      </c>
      <c r="T18" s="42"/>
      <c r="U18" s="53">
        <v>108</v>
      </c>
      <c r="V18" s="52">
        <v>90</v>
      </c>
      <c r="W18" s="52">
        <v>15</v>
      </c>
      <c r="X18" s="53">
        <v>9</v>
      </c>
      <c r="AD18" s="19"/>
      <c r="AL18" s="42" t="s">
        <v>17</v>
      </c>
      <c r="AM18" s="46">
        <f t="shared" si="0"/>
        <v>0.98070739549839225</v>
      </c>
      <c r="AN18" s="47">
        <f t="shared" si="1"/>
        <v>5.0847457627118647E-2</v>
      </c>
      <c r="AO18" s="47">
        <f t="shared" si="2"/>
        <v>0</v>
      </c>
      <c r="AP18" s="87">
        <f t="shared" si="3"/>
        <v>1</v>
      </c>
      <c r="AR18" s="42" t="s">
        <v>17</v>
      </c>
      <c r="AS18">
        <v>0</v>
      </c>
      <c r="AT18" s="48">
        <v>0.98070739549839225</v>
      </c>
      <c r="AU18" s="48">
        <v>5.0847457627118647E-2</v>
      </c>
      <c r="AV18" s="48">
        <v>1</v>
      </c>
      <c r="AW18" s="48">
        <v>0</v>
      </c>
      <c r="AX18">
        <v>1</v>
      </c>
      <c r="AY18" s="48">
        <v>0.98713826366559487</v>
      </c>
      <c r="AZ18" s="48">
        <v>6.7796610169491525E-2</v>
      </c>
      <c r="BA18" s="48">
        <v>1</v>
      </c>
      <c r="BB18" s="49">
        <v>0</v>
      </c>
      <c r="BC18" s="48"/>
      <c r="BD18" s="42" t="s">
        <v>16</v>
      </c>
      <c r="BE18" s="13">
        <f t="shared" si="12"/>
        <v>0.57234726688102899</v>
      </c>
      <c r="BF18" s="13">
        <f t="shared" si="9"/>
        <v>0.19209039548022599</v>
      </c>
      <c r="BG18" s="13">
        <f t="shared" si="9"/>
        <v>3.8461538461538464E-2</v>
      </c>
      <c r="BH18" s="13">
        <f t="shared" si="9"/>
        <v>0</v>
      </c>
      <c r="BI18" s="13">
        <f t="shared" si="13"/>
        <v>0.87781350482315113</v>
      </c>
      <c r="BJ18" s="13">
        <f t="shared" si="10"/>
        <v>0.48022598870056499</v>
      </c>
      <c r="BK18" s="13">
        <f t="shared" si="10"/>
        <v>0.57692307692307687</v>
      </c>
      <c r="BL18" s="56">
        <f t="shared" si="10"/>
        <v>0.77777777777777779</v>
      </c>
      <c r="BM18" s="48"/>
      <c r="BN18" s="48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5"/>
        <v>1.4022827859305847E-2</v>
      </c>
      <c r="CA18" s="13">
        <f t="shared" si="14"/>
        <v>6.4570230607966461E-2</v>
      </c>
      <c r="CB18" s="13">
        <f t="shared" si="14"/>
        <v>6.9881201956673749E-4</v>
      </c>
      <c r="CC18" s="13">
        <f t="shared" si="14"/>
        <v>6.5222455159562103E-3</v>
      </c>
      <c r="CD18" s="13">
        <f t="shared" si="14"/>
        <v>3.0946065428824051E-2</v>
      </c>
      <c r="CE18" s="13">
        <f t="shared" si="14"/>
        <v>0.17683465959328026</v>
      </c>
      <c r="CF18" s="13">
        <f t="shared" si="14"/>
        <v>9.9067599067599071E-2</v>
      </c>
      <c r="CG18" s="13">
        <f t="shared" si="14"/>
        <v>0.25480769230769229</v>
      </c>
      <c r="CI18" s="4" t="s">
        <v>16</v>
      </c>
      <c r="CJ18" s="14">
        <f t="shared" si="18"/>
        <v>3.6534137729157382E-2</v>
      </c>
      <c r="CK18" s="14">
        <f t="shared" si="19"/>
        <v>0.27332396575408319</v>
      </c>
      <c r="CL18" s="14">
        <f t="shared" si="20"/>
        <v>7.1709592149002715E-2</v>
      </c>
      <c r="CM18" s="14">
        <f t="shared" si="21"/>
        <v>0.32335167096206724</v>
      </c>
      <c r="CO18" s="4" t="s">
        <v>16</v>
      </c>
      <c r="CP18" s="14">
        <f t="shared" si="5"/>
        <v>-0.28681753323290987</v>
      </c>
      <c r="CQ18" s="14">
        <f t="shared" si="6"/>
        <v>0.20161437360508047</v>
      </c>
      <c r="CR18" s="97">
        <f t="shared" si="7"/>
        <v>2.5717500435727056E-2</v>
      </c>
      <c r="CS18" s="55">
        <f t="shared" si="8"/>
        <v>0.74860905335020655</v>
      </c>
      <c r="CU18" s="14"/>
      <c r="CW18" s="44">
        <f t="shared" si="11"/>
        <v>12</v>
      </c>
      <c r="CY18" s="14"/>
    </row>
    <row r="19" spans="1:103" ht="15.75" thickBot="1" x14ac:dyDescent="0.3">
      <c r="A19" s="62" t="s">
        <v>83</v>
      </c>
      <c r="B19" s="66" t="s">
        <v>21</v>
      </c>
      <c r="C19" s="27">
        <v>0</v>
      </c>
      <c r="D19" s="27">
        <v>0</v>
      </c>
      <c r="E19" s="27">
        <v>0</v>
      </c>
      <c r="F19" s="28">
        <v>0</v>
      </c>
      <c r="H19" s="42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6">
        <v>0</v>
      </c>
      <c r="T19" s="42"/>
      <c r="U19" s="53">
        <v>116</v>
      </c>
      <c r="V19" s="52">
        <v>96</v>
      </c>
      <c r="W19" s="52">
        <v>26</v>
      </c>
      <c r="X19" s="53">
        <v>9</v>
      </c>
      <c r="AD19" s="19"/>
      <c r="AL19" s="80" t="s">
        <v>21</v>
      </c>
      <c r="AM19" s="91">
        <f t="shared" si="0"/>
        <v>1</v>
      </c>
      <c r="AN19" s="92">
        <f t="shared" si="1"/>
        <v>0</v>
      </c>
      <c r="AO19" s="92">
        <f t="shared" si="2"/>
        <v>0</v>
      </c>
      <c r="AP19" s="93">
        <f t="shared" si="3"/>
        <v>1</v>
      </c>
      <c r="AR19" s="42" t="s">
        <v>21</v>
      </c>
      <c r="AS19">
        <v>0</v>
      </c>
      <c r="AT19" s="48">
        <v>1</v>
      </c>
      <c r="AU19" s="48">
        <v>0</v>
      </c>
      <c r="AV19" s="48">
        <v>1</v>
      </c>
      <c r="AW19" s="48">
        <v>0</v>
      </c>
      <c r="AX19">
        <v>1</v>
      </c>
      <c r="AY19" s="48">
        <v>1</v>
      </c>
      <c r="AZ19" s="48">
        <v>0</v>
      </c>
      <c r="BA19" s="48">
        <v>1</v>
      </c>
      <c r="BB19" s="49">
        <v>0</v>
      </c>
      <c r="BC19" s="48"/>
      <c r="BD19" s="42" t="s">
        <v>17</v>
      </c>
      <c r="BE19" s="13">
        <f t="shared" si="12"/>
        <v>0.91639871382636651</v>
      </c>
      <c r="BF19" s="13">
        <f t="shared" si="9"/>
        <v>5.0847457627118647E-2</v>
      </c>
      <c r="BG19" s="13">
        <f t="shared" si="9"/>
        <v>0</v>
      </c>
      <c r="BH19" s="13">
        <f t="shared" si="9"/>
        <v>0.77777777777777779</v>
      </c>
      <c r="BI19" s="13">
        <f t="shared" si="13"/>
        <v>0.98713826366559487</v>
      </c>
      <c r="BJ19" s="13">
        <f t="shared" si="10"/>
        <v>0.29943502824858759</v>
      </c>
      <c r="BK19" s="13">
        <f t="shared" si="10"/>
        <v>3.8461538461538464E-2</v>
      </c>
      <c r="BL19" s="56">
        <f t="shared" si="10"/>
        <v>1</v>
      </c>
      <c r="BM19" s="48"/>
      <c r="BN19" s="48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5"/>
        <v>6.4951651158547726E-3</v>
      </c>
      <c r="CA19" s="13">
        <f t="shared" si="14"/>
        <v>4.4827586206896558E-2</v>
      </c>
      <c r="CB19" s="13">
        <f t="shared" si="14"/>
        <v>6.9330414158000368E-3</v>
      </c>
      <c r="CC19" s="13">
        <f t="shared" si="14"/>
        <v>6.7943805874840349E-2</v>
      </c>
      <c r="CD19" s="13">
        <f t="shared" si="14"/>
        <v>5.9991933857632594E-2</v>
      </c>
      <c r="CE19" s="13">
        <f t="shared" si="14"/>
        <v>0.20568663036902604</v>
      </c>
      <c r="CF19" s="13">
        <f t="shared" si="14"/>
        <v>9.1706539074960139E-2</v>
      </c>
      <c r="CG19" s="13">
        <f t="shared" si="14"/>
        <v>0.23519736842105265</v>
      </c>
      <c r="CI19" s="4" t="s">
        <v>17</v>
      </c>
      <c r="CJ19" s="14">
        <f t="shared" si="18"/>
        <v>1.3638605468025816E-2</v>
      </c>
      <c r="CK19" s="14">
        <f t="shared" si="19"/>
        <v>0.13662648683168521</v>
      </c>
      <c r="CL19" s="14">
        <f t="shared" si="20"/>
        <v>0.11292990140480394</v>
      </c>
      <c r="CM19" s="14">
        <f t="shared" si="21"/>
        <v>0.28648171194313482</v>
      </c>
      <c r="CO19" s="4" t="s">
        <v>17</v>
      </c>
      <c r="CP19" s="14">
        <f t="shared" si="5"/>
        <v>-0.27284310647510901</v>
      </c>
      <c r="CQ19" s="14">
        <f t="shared" si="6"/>
        <v>2.3696585426881273E-2</v>
      </c>
      <c r="CR19" s="97">
        <f t="shared" si="7"/>
        <v>4.6400004831139305E-2</v>
      </c>
      <c r="CS19" s="55">
        <f t="shared" si="8"/>
        <v>0.4852862351914235</v>
      </c>
      <c r="CU19" s="14"/>
      <c r="CW19" s="44">
        <f t="shared" si="11"/>
        <v>11</v>
      </c>
      <c r="CY19" s="14"/>
    </row>
    <row r="20" spans="1:103" ht="15.75" thickBot="1" x14ac:dyDescent="0.3">
      <c r="A20" s="42" t="s">
        <v>108</v>
      </c>
      <c r="B20" s="4" t="s">
        <v>1</v>
      </c>
      <c r="C20" s="5">
        <v>4</v>
      </c>
      <c r="D20" s="5">
        <v>43</v>
      </c>
      <c r="E20" s="5">
        <v>1</v>
      </c>
      <c r="F20" s="26">
        <v>0</v>
      </c>
      <c r="H20" s="42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6">
        <v>2</v>
      </c>
      <c r="T20" s="42"/>
      <c r="AD20" s="19"/>
      <c r="AL20" s="39" t="s">
        <v>1</v>
      </c>
      <c r="AM20" s="84">
        <f t="shared" si="0"/>
        <v>0.98713826366559487</v>
      </c>
      <c r="AN20" s="85">
        <f t="shared" si="1"/>
        <v>0.24293785310734464</v>
      </c>
      <c r="AO20" s="85">
        <f t="shared" si="2"/>
        <v>3.8461538461538464E-2</v>
      </c>
      <c r="AP20" s="86">
        <f t="shared" si="3"/>
        <v>1</v>
      </c>
      <c r="AR20" s="42" t="s">
        <v>1</v>
      </c>
      <c r="AS20">
        <v>2</v>
      </c>
      <c r="AT20" s="48">
        <v>0.53697749196141475</v>
      </c>
      <c r="AU20" s="48">
        <v>0.28813559322033899</v>
      </c>
      <c r="AV20" s="48">
        <v>0.76923076923076927</v>
      </c>
      <c r="AW20" s="48">
        <v>0.22222222222222221</v>
      </c>
      <c r="AX20">
        <v>3</v>
      </c>
      <c r="AY20" s="48">
        <v>0.96784565916398713</v>
      </c>
      <c r="AZ20" s="48">
        <v>0.49717514124293788</v>
      </c>
      <c r="BA20" s="48">
        <v>0.96153846153846156</v>
      </c>
      <c r="BB20" s="49">
        <v>0.22222222222222221</v>
      </c>
      <c r="BC20" s="48"/>
      <c r="BD20" s="62" t="s">
        <v>21</v>
      </c>
      <c r="BE20" s="63">
        <f t="shared" si="12"/>
        <v>0.98713826366559487</v>
      </c>
      <c r="BF20" s="63">
        <f t="shared" si="9"/>
        <v>0</v>
      </c>
      <c r="BG20" s="63">
        <f t="shared" si="9"/>
        <v>0</v>
      </c>
      <c r="BH20" s="63">
        <f t="shared" si="9"/>
        <v>0.88888888888888884</v>
      </c>
      <c r="BI20" s="63">
        <f t="shared" si="13"/>
        <v>1</v>
      </c>
      <c r="BJ20" s="63">
        <f t="shared" si="10"/>
        <v>0.5423728813559322</v>
      </c>
      <c r="BK20" s="63">
        <f t="shared" si="10"/>
        <v>0.30769230769230771</v>
      </c>
      <c r="BL20" s="64">
        <f t="shared" si="10"/>
        <v>1</v>
      </c>
      <c r="BM20" s="48"/>
      <c r="BN20" s="48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5"/>
        <v>1.2679346012679343E-2</v>
      </c>
      <c r="CA20" s="13">
        <f t="shared" si="14"/>
        <v>6.1461461461461454E-2</v>
      </c>
      <c r="CB20" s="13">
        <f t="shared" si="14"/>
        <v>8.8977866755644386E-4</v>
      </c>
      <c r="CC20" s="13">
        <f t="shared" si="14"/>
        <v>1.619397174952731E-2</v>
      </c>
      <c r="CD20" s="13">
        <f t="shared" si="14"/>
        <v>1.6383211109377443E-2</v>
      </c>
      <c r="CE20" s="13">
        <f t="shared" si="14"/>
        <v>0.13231393353097209</v>
      </c>
      <c r="CF20" s="13">
        <f t="shared" si="14"/>
        <v>0.12751953928424517</v>
      </c>
      <c r="CG20" s="13">
        <f t="shared" si="14"/>
        <v>0.28506787330316746</v>
      </c>
      <c r="CR20" s="13"/>
      <c r="CS20" s="13"/>
    </row>
    <row r="21" spans="1:103" ht="16.5" thickBot="1" x14ac:dyDescent="0.3">
      <c r="A21" s="42" t="s">
        <v>108</v>
      </c>
      <c r="B21" s="4" t="s">
        <v>2</v>
      </c>
      <c r="C21" s="5">
        <v>0</v>
      </c>
      <c r="D21" s="5">
        <v>22</v>
      </c>
      <c r="E21" s="5">
        <v>3</v>
      </c>
      <c r="F21" s="26">
        <v>0</v>
      </c>
      <c r="H21" s="42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6">
        <v>0</v>
      </c>
      <c r="T21" s="18" t="s">
        <v>69</v>
      </c>
      <c r="AD21" s="19"/>
      <c r="AL21" s="42" t="s">
        <v>2</v>
      </c>
      <c r="AM21" s="46">
        <f t="shared" si="0"/>
        <v>1</v>
      </c>
      <c r="AN21" s="47">
        <f t="shared" si="1"/>
        <v>0.12429378531073447</v>
      </c>
      <c r="AO21" s="47">
        <f t="shared" si="2"/>
        <v>0.11538461538461539</v>
      </c>
      <c r="AP21" s="87">
        <f t="shared" si="3"/>
        <v>1</v>
      </c>
      <c r="AR21" s="42" t="s">
        <v>2</v>
      </c>
      <c r="AS21">
        <v>2</v>
      </c>
      <c r="AT21" s="48">
        <v>0.99678456591639875</v>
      </c>
      <c r="AU21" s="48">
        <v>0.15254237288135594</v>
      </c>
      <c r="AV21" s="48">
        <v>0.73076923076923073</v>
      </c>
      <c r="AW21" s="48">
        <v>0</v>
      </c>
      <c r="AX21">
        <v>3</v>
      </c>
      <c r="AY21" s="48">
        <v>0.99678456591639875</v>
      </c>
      <c r="AZ21" s="48">
        <v>0.16384180790960451</v>
      </c>
      <c r="BA21" s="48">
        <v>0.65384615384615385</v>
      </c>
      <c r="BB21" s="49">
        <v>0</v>
      </c>
      <c r="BC21" s="48"/>
      <c r="BD21" s="107" t="s">
        <v>40</v>
      </c>
      <c r="BE21" s="109" t="s">
        <v>111</v>
      </c>
      <c r="BF21" s="109"/>
      <c r="BG21" s="109"/>
      <c r="BH21" s="109"/>
      <c r="BI21" s="109" t="s">
        <v>112</v>
      </c>
      <c r="BJ21" s="109"/>
      <c r="BK21" s="109"/>
      <c r="BL21" s="110"/>
      <c r="BM21" s="48"/>
      <c r="BN21" s="48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5"/>
        <v>1.4438565549676662E-2</v>
      </c>
      <c r="CA21" s="13">
        <f t="shared" si="14"/>
        <v>6.5820105820105834E-2</v>
      </c>
      <c r="CB21" s="13">
        <f t="shared" si="14"/>
        <v>0</v>
      </c>
      <c r="CC21" s="13">
        <f t="shared" si="14"/>
        <v>2.6337448559670749E-3</v>
      </c>
      <c r="CD21" s="13">
        <f t="shared" si="14"/>
        <v>0</v>
      </c>
      <c r="CE21" s="13">
        <f t="shared" si="14"/>
        <v>0.19401288366805611</v>
      </c>
      <c r="CF21" s="13">
        <f t="shared" si="14"/>
        <v>6.7432567432567425E-2</v>
      </c>
      <c r="CG21" s="13">
        <f t="shared" si="14"/>
        <v>0.24313186813186816</v>
      </c>
      <c r="CP21" s="13">
        <f>ABS(MIN(CP4:CP19))</f>
        <v>0.3041939263119075</v>
      </c>
      <c r="CQ21" s="13">
        <f>MAX(CQ4:CQ19)</f>
        <v>0.37147022395901624</v>
      </c>
    </row>
    <row r="22" spans="1:103" ht="15.75" thickBot="1" x14ac:dyDescent="0.3">
      <c r="A22" s="42" t="s">
        <v>108</v>
      </c>
      <c r="B22" s="4" t="s">
        <v>4</v>
      </c>
      <c r="C22" s="5">
        <v>15</v>
      </c>
      <c r="D22" s="5">
        <v>9</v>
      </c>
      <c r="E22" s="5">
        <v>0</v>
      </c>
      <c r="F22" s="26">
        <v>1</v>
      </c>
      <c r="H22" s="42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6">
        <v>1</v>
      </c>
      <c r="T22" s="18" t="s">
        <v>36</v>
      </c>
      <c r="U22">
        <f>MIN(U4:U8)</f>
        <v>2</v>
      </c>
      <c r="V22">
        <f>MIN(V16:V19)</f>
        <v>70</v>
      </c>
      <c r="W22">
        <f>MIN(W18:W19)</f>
        <v>15</v>
      </c>
      <c r="X22">
        <f>MIN(X4:X13)</f>
        <v>0</v>
      </c>
      <c r="AD22" s="19"/>
      <c r="AL22" s="42" t="s">
        <v>4</v>
      </c>
      <c r="AM22" s="46">
        <f t="shared" si="0"/>
        <v>0.95176848874598075</v>
      </c>
      <c r="AN22" s="47">
        <f t="shared" si="1"/>
        <v>5.0847457627118647E-2</v>
      </c>
      <c r="AO22" s="47">
        <f t="shared" si="2"/>
        <v>0</v>
      </c>
      <c r="AP22" s="87">
        <f t="shared" si="3"/>
        <v>0.88888888888888884</v>
      </c>
      <c r="AR22" s="42" t="s">
        <v>4</v>
      </c>
      <c r="AS22">
        <v>2</v>
      </c>
      <c r="AT22" s="48">
        <v>0.89067524115755625</v>
      </c>
      <c r="AU22" s="48">
        <v>4.519774011299435E-2</v>
      </c>
      <c r="AV22" s="48">
        <v>1</v>
      </c>
      <c r="AW22" s="48">
        <v>0</v>
      </c>
      <c r="AX22">
        <v>3</v>
      </c>
      <c r="AY22" s="48">
        <v>0.93569131832797425</v>
      </c>
      <c r="AZ22" s="48">
        <v>6.7796610169491525E-2</v>
      </c>
      <c r="BA22" s="48">
        <v>1</v>
      </c>
      <c r="BB22" s="49">
        <v>0.1111111111111111</v>
      </c>
      <c r="BC22" s="48"/>
      <c r="BD22" s="108"/>
      <c r="BE22" s="50" t="s">
        <v>64</v>
      </c>
      <c r="BF22" s="50" t="s">
        <v>65</v>
      </c>
      <c r="BG22" s="50" t="s">
        <v>66</v>
      </c>
      <c r="BH22" s="50" t="s">
        <v>67</v>
      </c>
      <c r="BI22" s="50" t="s">
        <v>64</v>
      </c>
      <c r="BJ22" s="50" t="s">
        <v>65</v>
      </c>
      <c r="BK22" s="50" t="s">
        <v>66</v>
      </c>
      <c r="BL22" s="51" t="s">
        <v>67</v>
      </c>
      <c r="BM22" s="48"/>
      <c r="BN22" s="48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41"/>
      <c r="BZ22" s="59" t="s">
        <v>113</v>
      </c>
      <c r="CA22" s="59" t="s">
        <v>114</v>
      </c>
      <c r="CB22" s="59" t="s">
        <v>113</v>
      </c>
      <c r="CC22" s="59" t="s">
        <v>114</v>
      </c>
      <c r="CD22" s="59" t="s">
        <v>115</v>
      </c>
      <c r="CE22" s="59" t="s">
        <v>116</v>
      </c>
      <c r="CF22" s="59" t="s">
        <v>115</v>
      </c>
      <c r="CG22" s="59" t="s">
        <v>116</v>
      </c>
    </row>
    <row r="23" spans="1:103" ht="15.75" thickBot="1" x14ac:dyDescent="0.3">
      <c r="A23" s="42" t="s">
        <v>108</v>
      </c>
      <c r="B23" s="4" t="s">
        <v>5</v>
      </c>
      <c r="C23" s="5">
        <v>5</v>
      </c>
      <c r="D23" s="5">
        <v>29</v>
      </c>
      <c r="E23" s="5">
        <v>0</v>
      </c>
      <c r="F23" s="26">
        <v>0</v>
      </c>
      <c r="H23" s="42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6">
        <v>1</v>
      </c>
      <c r="T23" s="18" t="s">
        <v>107</v>
      </c>
      <c r="U23">
        <f>MIN(U9:U14)</f>
        <v>10</v>
      </c>
      <c r="V23">
        <f>MIN(V9:V15)</f>
        <v>40</v>
      </c>
      <c r="W23">
        <f>MIN(W16:W17)</f>
        <v>4</v>
      </c>
      <c r="X23">
        <f>MIN(X14:X15)</f>
        <v>2</v>
      </c>
      <c r="AD23" s="19"/>
      <c r="AL23" s="42" t="s">
        <v>5</v>
      </c>
      <c r="AM23" s="46">
        <f t="shared" si="0"/>
        <v>0.98392282958199362</v>
      </c>
      <c r="AN23" s="47">
        <f t="shared" si="1"/>
        <v>0.16384180790960451</v>
      </c>
      <c r="AO23" s="47">
        <f t="shared" si="2"/>
        <v>0</v>
      </c>
      <c r="AP23" s="87">
        <f t="shared" si="3"/>
        <v>1</v>
      </c>
      <c r="AR23" s="42" t="s">
        <v>5</v>
      </c>
      <c r="AS23">
        <v>2</v>
      </c>
      <c r="AT23" s="48">
        <v>0.91318327974276525</v>
      </c>
      <c r="AU23" s="48">
        <v>0.19209039548022599</v>
      </c>
      <c r="AV23" s="48">
        <v>0.92307692307692313</v>
      </c>
      <c r="AW23" s="48">
        <v>0.1111111111111111</v>
      </c>
      <c r="AX23">
        <v>3</v>
      </c>
      <c r="AY23" s="48">
        <v>0.89067524115755625</v>
      </c>
      <c r="AZ23" s="48">
        <v>0.30508474576271188</v>
      </c>
      <c r="BA23" s="48">
        <v>0.96153846153846156</v>
      </c>
      <c r="BB23" s="49">
        <v>0.1111111111111111</v>
      </c>
      <c r="BC23" s="48"/>
      <c r="BD23" s="42" t="s">
        <v>1</v>
      </c>
      <c r="BE23" s="13">
        <f t="shared" ref="BE23:BH38" si="22">BE5/(BI5+1-BE5)</f>
        <v>0.37028824833702878</v>
      </c>
      <c r="BF23" s="13">
        <f t="shared" si="22"/>
        <v>0.126984126984127</v>
      </c>
      <c r="BG23" s="13">
        <f t="shared" si="22"/>
        <v>3.2258064516129031E-2</v>
      </c>
      <c r="BH23" s="13">
        <f t="shared" si="22"/>
        <v>0.49999999999999989</v>
      </c>
      <c r="BI23" s="13">
        <f t="shared" ref="BI23:BL38" si="23">BI5/(BI5+1-BE5)</f>
        <v>0.68070953436807091</v>
      </c>
      <c r="BJ23" s="13">
        <f t="shared" si="23"/>
        <v>0.42460317460317465</v>
      </c>
      <c r="BK23" s="13">
        <f t="shared" si="23"/>
        <v>0.19354838709677422</v>
      </c>
      <c r="BL23" s="56">
        <f t="shared" si="23"/>
        <v>0.74999999999999989</v>
      </c>
      <c r="BM23" s="48"/>
      <c r="BN23" s="48"/>
      <c r="BO23" s="41"/>
      <c r="BP23" s="104" t="s">
        <v>72</v>
      </c>
      <c r="BQ23" s="104"/>
      <c r="BR23" s="104" t="s">
        <v>73</v>
      </c>
      <c r="BS23" s="104"/>
      <c r="BT23" s="104" t="s">
        <v>72</v>
      </c>
      <c r="BU23" s="104"/>
      <c r="BV23" s="104" t="s">
        <v>73</v>
      </c>
      <c r="BW23" s="104"/>
      <c r="BY23" s="4" t="s">
        <v>1</v>
      </c>
      <c r="BZ23" s="13">
        <f t="shared" ref="BZ23:CG38" si="24">BP27*BP$24</f>
        <v>1.4662756598240468E-2</v>
      </c>
      <c r="CA23" s="13">
        <f t="shared" si="24"/>
        <v>0.15249266862170088</v>
      </c>
      <c r="CB23" s="13">
        <f t="shared" si="24"/>
        <v>7.8201368523949169E-2</v>
      </c>
      <c r="CC23" s="13">
        <f t="shared" si="24"/>
        <v>0.19550342130987294</v>
      </c>
      <c r="CD23" s="13">
        <f t="shared" si="24"/>
        <v>0</v>
      </c>
      <c r="CE23" s="13">
        <f t="shared" si="24"/>
        <v>6.2499999999999986E-2</v>
      </c>
      <c r="CF23" s="13">
        <f t="shared" si="24"/>
        <v>0</v>
      </c>
      <c r="CG23" s="13">
        <f t="shared" si="24"/>
        <v>0.10416666666666667</v>
      </c>
    </row>
    <row r="24" spans="1:103" ht="15.75" thickBot="1" x14ac:dyDescent="0.3">
      <c r="A24" s="42" t="s">
        <v>108</v>
      </c>
      <c r="B24" s="4" t="s">
        <v>6</v>
      </c>
      <c r="C24" s="5">
        <v>57</v>
      </c>
      <c r="D24" s="5">
        <v>112</v>
      </c>
      <c r="E24" s="5">
        <v>2</v>
      </c>
      <c r="F24" s="26">
        <v>2</v>
      </c>
      <c r="H24" s="42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6">
        <v>1</v>
      </c>
      <c r="T24" s="18" t="s">
        <v>37</v>
      </c>
      <c r="U24">
        <f>MIN(U15:U19)</f>
        <v>51</v>
      </c>
      <c r="V24">
        <f>MIN(V4:V8)</f>
        <v>14</v>
      </c>
      <c r="W24">
        <f>MIN(W4:W15)</f>
        <v>0</v>
      </c>
      <c r="X24">
        <f>MIN(X16:X19)</f>
        <v>6</v>
      </c>
      <c r="AD24" s="19"/>
      <c r="AL24" s="42" t="s">
        <v>6</v>
      </c>
      <c r="AM24" s="46">
        <f t="shared" si="0"/>
        <v>0.81672025723472674</v>
      </c>
      <c r="AN24" s="47">
        <f t="shared" si="1"/>
        <v>0.63276836158192096</v>
      </c>
      <c r="AO24" s="47">
        <f t="shared" si="2"/>
        <v>7.6923076923076927E-2</v>
      </c>
      <c r="AP24" s="87">
        <f t="shared" si="3"/>
        <v>0.77777777777777779</v>
      </c>
      <c r="AR24" s="42" t="s">
        <v>6</v>
      </c>
      <c r="AS24">
        <v>2</v>
      </c>
      <c r="AT24" s="48">
        <v>0.85209003215434087</v>
      </c>
      <c r="AU24" s="48">
        <v>0.62146892655367236</v>
      </c>
      <c r="AV24" s="48">
        <v>1</v>
      </c>
      <c r="AW24" s="48">
        <v>0.22222222222222221</v>
      </c>
      <c r="AX24">
        <v>3</v>
      </c>
      <c r="AY24" s="48">
        <v>0.89067524115755625</v>
      </c>
      <c r="AZ24" s="48">
        <v>0.68926553672316382</v>
      </c>
      <c r="BA24" s="48">
        <v>0.96153846153846156</v>
      </c>
      <c r="BB24" s="49">
        <v>0.1111111111111111</v>
      </c>
      <c r="BC24" s="48"/>
      <c r="BD24" s="42" t="s">
        <v>2</v>
      </c>
      <c r="BE24" s="13">
        <f t="shared" si="22"/>
        <v>0.9872204472843451</v>
      </c>
      <c r="BF24" s="13">
        <f t="shared" si="22"/>
        <v>7.3578595317725759E-2</v>
      </c>
      <c r="BG24" s="13">
        <f t="shared" si="22"/>
        <v>0.04</v>
      </c>
      <c r="BH24" s="13">
        <f t="shared" si="22"/>
        <v>0.79999999999999993</v>
      </c>
      <c r="BI24" s="13">
        <f t="shared" si="23"/>
        <v>0.99361022364217255</v>
      </c>
      <c r="BJ24" s="13">
        <f t="shared" si="23"/>
        <v>0.48160535117056857</v>
      </c>
      <c r="BK24" s="13">
        <f t="shared" si="23"/>
        <v>0.52</v>
      </c>
      <c r="BL24" s="56">
        <f t="shared" si="23"/>
        <v>0.89999999999999991</v>
      </c>
      <c r="BM24" s="48"/>
      <c r="BN24" s="48"/>
      <c r="BO24" s="33"/>
      <c r="BP24" s="54">
        <f>W35</f>
        <v>0.45454545454545453</v>
      </c>
      <c r="BQ24" s="54">
        <f>W36</f>
        <v>0.78787878787878785</v>
      </c>
      <c r="BR24" s="54">
        <f>W37</f>
        <v>0.12121212121212122</v>
      </c>
      <c r="BS24" s="54">
        <f>W38</f>
        <v>0.24242424242424243</v>
      </c>
      <c r="BT24" s="54">
        <f>X35</f>
        <v>0</v>
      </c>
      <c r="BU24" s="54">
        <f>X36</f>
        <v>8.3333333333333329E-2</v>
      </c>
      <c r="BV24" s="54">
        <f>X37</f>
        <v>0.16666666666666666</v>
      </c>
      <c r="BW24" s="54">
        <f>X38</f>
        <v>0.41666666666666669</v>
      </c>
      <c r="BY24" s="4" t="s">
        <v>2</v>
      </c>
      <c r="BZ24" s="13">
        <f t="shared" si="24"/>
        <v>1.8181818181818181E-2</v>
      </c>
      <c r="CA24" s="13">
        <f t="shared" si="24"/>
        <v>0.40969696969696967</v>
      </c>
      <c r="CB24" s="13">
        <f t="shared" si="24"/>
        <v>0</v>
      </c>
      <c r="CC24" s="13">
        <f t="shared" si="24"/>
        <v>0.11636363636363638</v>
      </c>
      <c r="CD24" s="13">
        <f t="shared" si="24"/>
        <v>0</v>
      </c>
      <c r="CE24" s="13">
        <f t="shared" si="24"/>
        <v>7.4999999999999983E-2</v>
      </c>
      <c r="CF24" s="13">
        <f t="shared" si="24"/>
        <v>0</v>
      </c>
      <c r="CG24" s="13">
        <f t="shared" si="24"/>
        <v>4.1666666666666685E-2</v>
      </c>
    </row>
    <row r="25" spans="1:103" ht="15.75" thickBot="1" x14ac:dyDescent="0.3">
      <c r="A25" s="42" t="s">
        <v>108</v>
      </c>
      <c r="B25" s="4" t="s">
        <v>8</v>
      </c>
      <c r="C25" s="5">
        <v>10</v>
      </c>
      <c r="D25" s="5">
        <v>43</v>
      </c>
      <c r="E25" s="5">
        <v>0</v>
      </c>
      <c r="F25" s="26">
        <v>2</v>
      </c>
      <c r="H25" s="42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6">
        <v>1</v>
      </c>
      <c r="T25" s="18"/>
      <c r="AD25" s="19"/>
      <c r="AL25" s="42" t="s">
        <v>8</v>
      </c>
      <c r="AM25" s="46">
        <f t="shared" si="0"/>
        <v>0.96784565916398713</v>
      </c>
      <c r="AN25" s="47">
        <f t="shared" si="1"/>
        <v>0.24293785310734464</v>
      </c>
      <c r="AO25" s="47">
        <f t="shared" si="2"/>
        <v>0</v>
      </c>
      <c r="AP25" s="87">
        <f t="shared" si="3"/>
        <v>0.77777777777777779</v>
      </c>
      <c r="AR25" s="42" t="s">
        <v>8</v>
      </c>
      <c r="AS25">
        <v>2</v>
      </c>
      <c r="AT25" s="48">
        <v>0.887459807073955</v>
      </c>
      <c r="AU25" s="48">
        <v>0.2655367231638418</v>
      </c>
      <c r="AV25" s="48">
        <v>0.96153846153846156</v>
      </c>
      <c r="AW25" s="48">
        <v>0.1111111111111111</v>
      </c>
      <c r="AX25">
        <v>3</v>
      </c>
      <c r="AY25" s="48">
        <v>0.92604501607717038</v>
      </c>
      <c r="AZ25" s="48">
        <v>0.34463276836158191</v>
      </c>
      <c r="BA25" s="48">
        <v>0.96153846153846156</v>
      </c>
      <c r="BB25" s="49">
        <v>0.1111111111111111</v>
      </c>
      <c r="BC25" s="48"/>
      <c r="BD25" s="42" t="s">
        <v>4</v>
      </c>
      <c r="BE25" s="13">
        <f t="shared" si="22"/>
        <v>0.62299465240641705</v>
      </c>
      <c r="BF25" s="13">
        <f t="shared" si="22"/>
        <v>4.1666666666666664E-2</v>
      </c>
      <c r="BG25" s="13">
        <f t="shared" si="22"/>
        <v>0</v>
      </c>
      <c r="BH25" s="13">
        <f t="shared" si="22"/>
        <v>0.63636363636363635</v>
      </c>
      <c r="BI25" s="13">
        <f t="shared" si="23"/>
        <v>0.79144385026737973</v>
      </c>
      <c r="BJ25" s="13">
        <f t="shared" si="23"/>
        <v>0.11979166666666666</v>
      </c>
      <c r="BK25" s="13">
        <f t="shared" si="23"/>
        <v>7.1428571428571438E-2</v>
      </c>
      <c r="BL25" s="56">
        <f t="shared" si="23"/>
        <v>0.81818181818181812</v>
      </c>
      <c r="BM25" s="48"/>
      <c r="BN25" s="48"/>
      <c r="BO25" s="33"/>
      <c r="BP25" s="105" t="s">
        <v>40</v>
      </c>
      <c r="BQ25" s="106"/>
      <c r="BR25" s="105" t="s">
        <v>41</v>
      </c>
      <c r="BS25" s="106"/>
      <c r="BT25" s="105" t="s">
        <v>40</v>
      </c>
      <c r="BU25" s="106"/>
      <c r="BV25" s="105" t="s">
        <v>41</v>
      </c>
      <c r="BW25" s="106"/>
      <c r="BY25" s="4" t="s">
        <v>4</v>
      </c>
      <c r="BZ25" s="13">
        <f t="shared" si="24"/>
        <v>0</v>
      </c>
      <c r="CA25" s="13">
        <f t="shared" si="24"/>
        <v>5.627705627705628E-2</v>
      </c>
      <c r="CB25" s="13">
        <f t="shared" si="24"/>
        <v>0.1038961038961039</v>
      </c>
      <c r="CC25" s="13">
        <f t="shared" si="24"/>
        <v>0.22510822510822512</v>
      </c>
      <c r="CD25" s="13">
        <f t="shared" si="24"/>
        <v>0</v>
      </c>
      <c r="CE25" s="13">
        <f t="shared" si="24"/>
        <v>6.8181818181818177E-2</v>
      </c>
      <c r="CF25" s="13">
        <f t="shared" si="24"/>
        <v>0</v>
      </c>
      <c r="CG25" s="13">
        <f t="shared" si="24"/>
        <v>7.5757575757575746E-2</v>
      </c>
    </row>
    <row r="26" spans="1:103" ht="15.75" thickBot="1" x14ac:dyDescent="0.3">
      <c r="A26" s="42" t="s">
        <v>108</v>
      </c>
      <c r="B26" s="4" t="s">
        <v>9</v>
      </c>
      <c r="C26" s="5">
        <v>22</v>
      </c>
      <c r="D26" s="5">
        <v>36</v>
      </c>
      <c r="E26" s="5">
        <v>1</v>
      </c>
      <c r="F26" s="26">
        <v>2</v>
      </c>
      <c r="H26" s="42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6">
        <v>0</v>
      </c>
      <c r="T26" s="18" t="s">
        <v>70</v>
      </c>
      <c r="AD26" s="19"/>
      <c r="AL26" s="42" t="s">
        <v>9</v>
      </c>
      <c r="AM26" s="46">
        <f t="shared" si="0"/>
        <v>0.92926045016077174</v>
      </c>
      <c r="AN26" s="47">
        <f t="shared" si="1"/>
        <v>0.20338983050847459</v>
      </c>
      <c r="AO26" s="47">
        <f t="shared" si="2"/>
        <v>3.8461538461538464E-2</v>
      </c>
      <c r="AP26" s="87">
        <f t="shared" si="3"/>
        <v>0.77777777777777779</v>
      </c>
      <c r="AR26" s="42" t="s">
        <v>9</v>
      </c>
      <c r="AS26">
        <v>2</v>
      </c>
      <c r="AT26" s="48">
        <v>0.91639871382636651</v>
      </c>
      <c r="AU26" s="48">
        <v>0.14124293785310735</v>
      </c>
      <c r="AV26" s="48">
        <v>0.88461538461538458</v>
      </c>
      <c r="AW26" s="48">
        <v>0.1111111111111111</v>
      </c>
      <c r="AX26">
        <v>3</v>
      </c>
      <c r="AY26" s="48">
        <v>0.90675241157556274</v>
      </c>
      <c r="AZ26" s="48">
        <v>0.22598870056497175</v>
      </c>
      <c r="BA26" s="48">
        <v>1</v>
      </c>
      <c r="BB26" s="49">
        <v>0</v>
      </c>
      <c r="BC26" s="48"/>
      <c r="BD26" s="42" t="s">
        <v>5</v>
      </c>
      <c r="BE26" s="13">
        <f t="shared" si="22"/>
        <v>0.81470588235294117</v>
      </c>
      <c r="BF26" s="13">
        <f t="shared" si="22"/>
        <v>0.1</v>
      </c>
      <c r="BG26" s="13">
        <f t="shared" si="22"/>
        <v>0</v>
      </c>
      <c r="BH26" s="13">
        <f t="shared" si="22"/>
        <v>0.63636363636363635</v>
      </c>
      <c r="BI26" s="13">
        <f t="shared" si="23"/>
        <v>0.90000000000000013</v>
      </c>
      <c r="BJ26" s="13">
        <f t="shared" si="23"/>
        <v>0.36250000000000004</v>
      </c>
      <c r="BK26" s="13">
        <f t="shared" si="23"/>
        <v>7.1428571428571438E-2</v>
      </c>
      <c r="BL26" s="56">
        <f t="shared" si="23"/>
        <v>0.81818181818181812</v>
      </c>
      <c r="BM26" s="48"/>
      <c r="BN26" s="48"/>
      <c r="BO26" s="41"/>
      <c r="BP26" s="59" t="s">
        <v>113</v>
      </c>
      <c r="BQ26" s="59" t="s">
        <v>114</v>
      </c>
      <c r="BR26" s="59" t="s">
        <v>113</v>
      </c>
      <c r="BS26" s="59" t="s">
        <v>114</v>
      </c>
      <c r="BT26" s="59" t="s">
        <v>115</v>
      </c>
      <c r="BU26" s="59" t="s">
        <v>116</v>
      </c>
      <c r="BV26" s="59" t="s">
        <v>115</v>
      </c>
      <c r="BW26" s="59" t="s">
        <v>116</v>
      </c>
      <c r="BY26" s="4" t="s">
        <v>5</v>
      </c>
      <c r="BZ26" s="13">
        <f t="shared" si="24"/>
        <v>0</v>
      </c>
      <c r="CA26" s="13">
        <f t="shared" si="24"/>
        <v>5.627705627705628E-2</v>
      </c>
      <c r="CB26" s="13">
        <f t="shared" si="24"/>
        <v>0.1038961038961039</v>
      </c>
      <c r="CC26" s="13">
        <f t="shared" si="24"/>
        <v>0.22510822510822512</v>
      </c>
      <c r="CD26" s="13">
        <f t="shared" si="24"/>
        <v>0</v>
      </c>
      <c r="CE26" s="13">
        <f t="shared" si="24"/>
        <v>6.8181818181818177E-2</v>
      </c>
      <c r="CF26" s="13">
        <f t="shared" si="24"/>
        <v>0</v>
      </c>
      <c r="CG26" s="13">
        <f t="shared" si="24"/>
        <v>7.5757575757575746E-2</v>
      </c>
    </row>
    <row r="27" spans="1:103" ht="15.75" thickBot="1" x14ac:dyDescent="0.3">
      <c r="A27" s="42" t="s">
        <v>108</v>
      </c>
      <c r="B27" s="4" t="s">
        <v>10</v>
      </c>
      <c r="C27" s="5">
        <v>62</v>
      </c>
      <c r="D27" s="5">
        <v>42</v>
      </c>
      <c r="E27" s="5">
        <v>1</v>
      </c>
      <c r="F27" s="26">
        <v>2</v>
      </c>
      <c r="H27" s="42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6">
        <v>2</v>
      </c>
      <c r="T27" s="18" t="s">
        <v>36</v>
      </c>
      <c r="U27">
        <f>MAX(U4:U8)</f>
        <v>9</v>
      </c>
      <c r="V27">
        <f>MAX(V16:V19)</f>
        <v>96</v>
      </c>
      <c r="W27">
        <f>MAX(W18:W19)</f>
        <v>26</v>
      </c>
      <c r="X27">
        <f>MAX(X4:X13)</f>
        <v>1</v>
      </c>
      <c r="AD27" s="19"/>
      <c r="AL27" s="42" t="s">
        <v>10</v>
      </c>
      <c r="AM27" s="46">
        <f t="shared" si="0"/>
        <v>0.80064308681672025</v>
      </c>
      <c r="AN27" s="47">
        <f t="shared" si="1"/>
        <v>0.23728813559322035</v>
      </c>
      <c r="AO27" s="47">
        <f t="shared" si="2"/>
        <v>3.8461538461538464E-2</v>
      </c>
      <c r="AP27" s="87">
        <f t="shared" si="3"/>
        <v>0.77777777777777779</v>
      </c>
      <c r="AR27" s="42" t="s">
        <v>10</v>
      </c>
      <c r="AS27">
        <v>2</v>
      </c>
      <c r="AT27" s="48">
        <v>0.65594855305466238</v>
      </c>
      <c r="AU27" s="48">
        <v>0.25988700564971751</v>
      </c>
      <c r="AV27" s="48">
        <v>0.96153846153846156</v>
      </c>
      <c r="AW27" s="48">
        <v>0.33333333333333331</v>
      </c>
      <c r="AX27">
        <v>3</v>
      </c>
      <c r="AY27" s="48">
        <v>0.70096463022508038</v>
      </c>
      <c r="AZ27" s="48">
        <v>0.2824858757062147</v>
      </c>
      <c r="BA27" s="48">
        <v>0.92307692307692313</v>
      </c>
      <c r="BB27" s="49">
        <v>0.22222222222222221</v>
      </c>
      <c r="BC27" s="48"/>
      <c r="BD27" s="42" t="s">
        <v>6</v>
      </c>
      <c r="BE27" s="13">
        <f t="shared" si="22"/>
        <v>0.72988505747126442</v>
      </c>
      <c r="BF27" s="13">
        <f t="shared" si="22"/>
        <v>0.28326180257510725</v>
      </c>
      <c r="BG27" s="13">
        <f t="shared" si="22"/>
        <v>0</v>
      </c>
      <c r="BH27" s="13">
        <f t="shared" si="22"/>
        <v>0.63636363636363635</v>
      </c>
      <c r="BI27" s="13">
        <f t="shared" si="23"/>
        <v>0.8362068965517242</v>
      </c>
      <c r="BJ27" s="13">
        <f t="shared" si="23"/>
        <v>0.5236051502145922</v>
      </c>
      <c r="BK27" s="13">
        <f t="shared" si="23"/>
        <v>0.10344827586206896</v>
      </c>
      <c r="BL27" s="56">
        <f t="shared" si="23"/>
        <v>0.81818181818181812</v>
      </c>
      <c r="BM27" s="48"/>
      <c r="BN27" s="48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4"/>
        <v>0</v>
      </c>
      <c r="CA27" s="13">
        <f t="shared" si="24"/>
        <v>8.1504702194357362E-2</v>
      </c>
      <c r="CB27" s="13">
        <f t="shared" si="24"/>
        <v>9.6133751306165097E-2</v>
      </c>
      <c r="CC27" s="13">
        <f t="shared" si="24"/>
        <v>0.21734587251828633</v>
      </c>
      <c r="CD27" s="13">
        <f t="shared" si="24"/>
        <v>0</v>
      </c>
      <c r="CE27" s="13">
        <f t="shared" si="24"/>
        <v>6.8181818181818177E-2</v>
      </c>
      <c r="CF27" s="13">
        <f t="shared" si="24"/>
        <v>0</v>
      </c>
      <c r="CG27" s="13">
        <f t="shared" si="24"/>
        <v>7.5757575757575746E-2</v>
      </c>
    </row>
    <row r="28" spans="1:103" ht="15.75" thickBot="1" x14ac:dyDescent="0.3">
      <c r="A28" s="42" t="s">
        <v>108</v>
      </c>
      <c r="B28" s="4" t="s">
        <v>11</v>
      </c>
      <c r="C28" s="5">
        <v>3</v>
      </c>
      <c r="D28" s="5">
        <v>88</v>
      </c>
      <c r="E28" s="5">
        <v>0</v>
      </c>
      <c r="F28" s="26">
        <v>0</v>
      </c>
      <c r="H28" s="42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6">
        <v>0</v>
      </c>
      <c r="T28" s="18" t="s">
        <v>107</v>
      </c>
      <c r="U28">
        <f>MAX(U9:U14)</f>
        <v>28</v>
      </c>
      <c r="V28">
        <f>MAX(V9:V15)</f>
        <v>66</v>
      </c>
      <c r="W28">
        <f>MAX(W16:W17)</f>
        <v>8</v>
      </c>
      <c r="X28">
        <f>MAX(X14:X15)</f>
        <v>5</v>
      </c>
      <c r="AD28" s="19"/>
      <c r="AL28" s="42" t="s">
        <v>11</v>
      </c>
      <c r="AM28" s="46">
        <f t="shared" si="0"/>
        <v>0.99035369774919613</v>
      </c>
      <c r="AN28" s="47">
        <f t="shared" si="1"/>
        <v>0.49717514124293788</v>
      </c>
      <c r="AO28" s="47">
        <f t="shared" si="2"/>
        <v>0</v>
      </c>
      <c r="AP28" s="87">
        <f t="shared" si="3"/>
        <v>1</v>
      </c>
      <c r="AR28" s="42" t="s">
        <v>11</v>
      </c>
      <c r="AS28">
        <v>2</v>
      </c>
      <c r="AT28" s="48">
        <v>0.99035369774919613</v>
      </c>
      <c r="AU28" s="48">
        <v>0.48587570621468928</v>
      </c>
      <c r="AV28" s="48">
        <v>1</v>
      </c>
      <c r="AW28" s="48">
        <v>0</v>
      </c>
      <c r="AX28">
        <v>3</v>
      </c>
      <c r="AY28" s="48">
        <v>0.99678456591639875</v>
      </c>
      <c r="AZ28" s="48">
        <v>0.47457627118644069</v>
      </c>
      <c r="BA28" s="48">
        <v>1</v>
      </c>
      <c r="BB28" s="49">
        <v>0</v>
      </c>
      <c r="BC28" s="48"/>
      <c r="BD28" s="42" t="s">
        <v>8</v>
      </c>
      <c r="BE28" s="13">
        <f t="shared" si="22"/>
        <v>0.80530973451327437</v>
      </c>
      <c r="BF28" s="13">
        <f t="shared" si="22"/>
        <v>0.16019417475728154</v>
      </c>
      <c r="BG28" s="13">
        <f t="shared" si="22"/>
        <v>0</v>
      </c>
      <c r="BH28" s="13">
        <f t="shared" si="22"/>
        <v>0.49999999999999989</v>
      </c>
      <c r="BI28" s="13">
        <f t="shared" si="23"/>
        <v>0.88790560471976399</v>
      </c>
      <c r="BJ28" s="13">
        <f t="shared" si="23"/>
        <v>0.30097087378640774</v>
      </c>
      <c r="BK28" s="13">
        <f t="shared" si="23"/>
        <v>7.1428571428571438E-2</v>
      </c>
      <c r="BL28" s="56">
        <f t="shared" si="23"/>
        <v>0.74999999999999989</v>
      </c>
      <c r="BM28" s="48"/>
      <c r="BN28" s="48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4"/>
        <v>0</v>
      </c>
      <c r="CA28" s="13">
        <f t="shared" si="24"/>
        <v>5.627705627705628E-2</v>
      </c>
      <c r="CB28" s="13">
        <f t="shared" si="24"/>
        <v>0.1038961038961039</v>
      </c>
      <c r="CC28" s="13">
        <f t="shared" si="24"/>
        <v>0.22510822510822512</v>
      </c>
      <c r="CD28" s="13">
        <f t="shared" si="24"/>
        <v>0</v>
      </c>
      <c r="CE28" s="13">
        <f t="shared" si="24"/>
        <v>6.2499999999999986E-2</v>
      </c>
      <c r="CF28" s="13">
        <f t="shared" si="24"/>
        <v>0</v>
      </c>
      <c r="CG28" s="13">
        <f t="shared" si="24"/>
        <v>0.10416666666666667</v>
      </c>
    </row>
    <row r="29" spans="1:103" ht="15.75" thickBot="1" x14ac:dyDescent="0.3">
      <c r="A29" s="42" t="s">
        <v>108</v>
      </c>
      <c r="B29" s="4" t="s">
        <v>12</v>
      </c>
      <c r="C29" s="5">
        <v>311</v>
      </c>
      <c r="D29" s="5">
        <v>61</v>
      </c>
      <c r="E29" s="5">
        <v>16</v>
      </c>
      <c r="F29" s="26">
        <v>7</v>
      </c>
      <c r="H29" s="42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6">
        <v>0</v>
      </c>
      <c r="T29" s="18" t="s">
        <v>37</v>
      </c>
      <c r="U29">
        <f>MAX(U15:U19)</f>
        <v>116</v>
      </c>
      <c r="V29">
        <f>MAX(V4:V8)</f>
        <v>38</v>
      </c>
      <c r="W29">
        <f>MAX(W4:W15)</f>
        <v>3</v>
      </c>
      <c r="X29">
        <f>MAX(X16:X19)</f>
        <v>9</v>
      </c>
      <c r="AD29" s="19"/>
      <c r="AL29" s="42" t="s">
        <v>12</v>
      </c>
      <c r="AM29" s="46">
        <f t="shared" si="0"/>
        <v>0</v>
      </c>
      <c r="AN29" s="47">
        <f t="shared" si="1"/>
        <v>0.34463276836158191</v>
      </c>
      <c r="AO29" s="47">
        <f t="shared" si="2"/>
        <v>0.61538461538461542</v>
      </c>
      <c r="AP29" s="87">
        <f t="shared" si="3"/>
        <v>0.22222222222222221</v>
      </c>
      <c r="AR29" s="42" t="s">
        <v>12</v>
      </c>
      <c r="AS29">
        <v>2</v>
      </c>
      <c r="AT29" s="48">
        <v>0.92604501607717038</v>
      </c>
      <c r="AU29" s="48">
        <v>0.20903954802259886</v>
      </c>
      <c r="AV29" s="48">
        <v>0.84615384615384615</v>
      </c>
      <c r="AW29" s="48">
        <v>0.1111111111111111</v>
      </c>
      <c r="AX29">
        <v>3</v>
      </c>
      <c r="AY29" s="48">
        <v>0.95176848874598075</v>
      </c>
      <c r="AZ29" s="48">
        <v>0.12429378531073447</v>
      </c>
      <c r="BA29" s="48">
        <v>0.73076923076923073</v>
      </c>
      <c r="BB29" s="49">
        <v>0</v>
      </c>
      <c r="BC29" s="48"/>
      <c r="BD29" s="42" t="s">
        <v>9</v>
      </c>
      <c r="BE29" s="13">
        <f t="shared" si="22"/>
        <v>0.47911547911547908</v>
      </c>
      <c r="BF29" s="13">
        <f t="shared" si="22"/>
        <v>7.598784194528875E-2</v>
      </c>
      <c r="BG29" s="13">
        <f t="shared" si="22"/>
        <v>0</v>
      </c>
      <c r="BH29" s="13">
        <f t="shared" si="22"/>
        <v>0</v>
      </c>
      <c r="BI29" s="13">
        <f t="shared" si="23"/>
        <v>0.71498771498771496</v>
      </c>
      <c r="BJ29" s="13">
        <f t="shared" si="23"/>
        <v>0.53799392097264431</v>
      </c>
      <c r="BK29" s="13">
        <f t="shared" si="23"/>
        <v>0.10344827586206896</v>
      </c>
      <c r="BL29" s="56">
        <f t="shared" si="23"/>
        <v>0.5</v>
      </c>
      <c r="BM29" s="48"/>
      <c r="BN29" s="48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4"/>
        <v>0</v>
      </c>
      <c r="CA29" s="13">
        <f t="shared" si="24"/>
        <v>8.1504702194357362E-2</v>
      </c>
      <c r="CB29" s="13">
        <f t="shared" si="24"/>
        <v>9.6133751306165097E-2</v>
      </c>
      <c r="CC29" s="13">
        <f t="shared" si="24"/>
        <v>0.21734587251828633</v>
      </c>
      <c r="CD29" s="13">
        <f t="shared" si="24"/>
        <v>0</v>
      </c>
      <c r="CE29" s="13">
        <f t="shared" si="24"/>
        <v>4.1666666666666664E-2</v>
      </c>
      <c r="CF29" s="13">
        <f t="shared" si="24"/>
        <v>0</v>
      </c>
      <c r="CG29" s="13">
        <f t="shared" si="24"/>
        <v>0.20833333333333334</v>
      </c>
    </row>
    <row r="30" spans="1:103" ht="15.75" thickBot="1" x14ac:dyDescent="0.3">
      <c r="A30" s="42" t="s">
        <v>108</v>
      </c>
      <c r="B30" s="4" t="s">
        <v>13</v>
      </c>
      <c r="C30" s="5">
        <v>7</v>
      </c>
      <c r="D30" s="5">
        <v>68</v>
      </c>
      <c r="E30" s="5">
        <v>3</v>
      </c>
      <c r="F30" s="26">
        <v>1</v>
      </c>
      <c r="H30" s="42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6">
        <v>0</v>
      </c>
      <c r="T30" s="18"/>
      <c r="AD30" s="19"/>
      <c r="AL30" s="42" t="s">
        <v>13</v>
      </c>
      <c r="AM30" s="46">
        <f t="shared" si="0"/>
        <v>0.977491961414791</v>
      </c>
      <c r="AN30" s="47">
        <f t="shared" si="1"/>
        <v>0.38418079096045199</v>
      </c>
      <c r="AO30" s="47">
        <f t="shared" si="2"/>
        <v>0.11538461538461539</v>
      </c>
      <c r="AP30" s="87">
        <f t="shared" si="3"/>
        <v>0.88888888888888884</v>
      </c>
      <c r="AR30" s="42" t="s">
        <v>13</v>
      </c>
      <c r="AS30">
        <v>2</v>
      </c>
      <c r="AT30" s="48">
        <v>0.96463022508038587</v>
      </c>
      <c r="AU30" s="48">
        <v>0.37853107344632769</v>
      </c>
      <c r="AV30" s="48">
        <v>1</v>
      </c>
      <c r="AW30" s="48">
        <v>0.1111111111111111</v>
      </c>
      <c r="AX30">
        <v>3</v>
      </c>
      <c r="AY30" s="48">
        <v>0.96141479099678462</v>
      </c>
      <c r="AZ30" s="48">
        <v>0.65536723163841804</v>
      </c>
      <c r="BA30" s="48">
        <v>0.92307692307692313</v>
      </c>
      <c r="BB30" s="49">
        <v>0</v>
      </c>
      <c r="BC30" s="48"/>
      <c r="BD30" s="42" t="s">
        <v>10</v>
      </c>
      <c r="BE30" s="13">
        <f t="shared" si="22"/>
        <v>0.40384615384615391</v>
      </c>
      <c r="BF30" s="13">
        <f t="shared" si="22"/>
        <v>0.14778325123152708</v>
      </c>
      <c r="BG30" s="13">
        <f t="shared" si="22"/>
        <v>2.9411764705882353E-2</v>
      </c>
      <c r="BH30" s="13">
        <f t="shared" si="22"/>
        <v>0.23076923076923075</v>
      </c>
      <c r="BI30" s="13">
        <f t="shared" si="23"/>
        <v>0.65625</v>
      </c>
      <c r="BJ30" s="13">
        <f t="shared" si="23"/>
        <v>0.27586206896551729</v>
      </c>
      <c r="BK30" s="13">
        <f t="shared" si="23"/>
        <v>0.26470588235294118</v>
      </c>
      <c r="BL30" s="56">
        <f t="shared" si="23"/>
        <v>0.53846153846153844</v>
      </c>
      <c r="BM30" s="48"/>
      <c r="BN30" s="48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4"/>
        <v>1.3368983957219251E-2</v>
      </c>
      <c r="CA30" s="13">
        <f t="shared" si="24"/>
        <v>0.20855614973262032</v>
      </c>
      <c r="CB30" s="13">
        <f t="shared" si="24"/>
        <v>6.0606060606060608E-2</v>
      </c>
      <c r="CC30" s="13">
        <f t="shared" si="24"/>
        <v>0.17825311942959005</v>
      </c>
      <c r="CD30" s="13">
        <f t="shared" si="24"/>
        <v>0</v>
      </c>
      <c r="CE30" s="13">
        <f t="shared" si="24"/>
        <v>4.4871794871794865E-2</v>
      </c>
      <c r="CF30" s="13">
        <f t="shared" si="24"/>
        <v>2.5641025641025637E-2</v>
      </c>
      <c r="CG30" s="13">
        <f t="shared" si="24"/>
        <v>0.19230769230769235</v>
      </c>
    </row>
    <row r="31" spans="1:103" ht="15.75" thickBot="1" x14ac:dyDescent="0.3">
      <c r="A31" s="42" t="s">
        <v>108</v>
      </c>
      <c r="B31" s="4" t="s">
        <v>14</v>
      </c>
      <c r="C31" s="5">
        <v>24</v>
      </c>
      <c r="D31" s="5">
        <v>58</v>
      </c>
      <c r="E31" s="5">
        <v>1</v>
      </c>
      <c r="F31" s="26">
        <v>1</v>
      </c>
      <c r="H31" s="42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6">
        <v>0</v>
      </c>
      <c r="T31" s="18" t="s">
        <v>117</v>
      </c>
      <c r="AD31" s="19"/>
      <c r="AL31" s="42" t="s">
        <v>14</v>
      </c>
      <c r="AM31" s="46">
        <f t="shared" si="0"/>
        <v>0.92282958199356913</v>
      </c>
      <c r="AN31" s="47">
        <f t="shared" si="1"/>
        <v>0.32768361581920902</v>
      </c>
      <c r="AO31" s="47">
        <f t="shared" si="2"/>
        <v>3.8461538461538464E-2</v>
      </c>
      <c r="AP31" s="87">
        <f t="shared" si="3"/>
        <v>0.88888888888888884</v>
      </c>
      <c r="AR31" s="42" t="s">
        <v>14</v>
      </c>
      <c r="AS31">
        <v>2</v>
      </c>
      <c r="AT31" s="48">
        <v>0.89389067524115751</v>
      </c>
      <c r="AU31" s="48">
        <v>0.41807909604519772</v>
      </c>
      <c r="AV31" s="48">
        <v>0.96153846153846156</v>
      </c>
      <c r="AW31" s="48">
        <v>0.1111111111111111</v>
      </c>
      <c r="AX31">
        <v>3</v>
      </c>
      <c r="AY31" s="48">
        <v>0.92926045016077174</v>
      </c>
      <c r="AZ31" s="48">
        <v>0.3615819209039548</v>
      </c>
      <c r="BA31" s="48">
        <v>1</v>
      </c>
      <c r="BB31" s="49">
        <v>0</v>
      </c>
      <c r="BC31" s="48"/>
      <c r="BD31" s="42" t="s">
        <v>11</v>
      </c>
      <c r="BE31" s="13">
        <f t="shared" si="22"/>
        <v>0.98089171974522282</v>
      </c>
      <c r="BF31" s="13">
        <f t="shared" si="22"/>
        <v>0.29596412556053808</v>
      </c>
      <c r="BG31" s="13">
        <f t="shared" si="22"/>
        <v>0</v>
      </c>
      <c r="BH31" s="13">
        <f t="shared" si="22"/>
        <v>1</v>
      </c>
      <c r="BI31" s="13">
        <f t="shared" si="23"/>
        <v>0.99044585987261136</v>
      </c>
      <c r="BJ31" s="13">
        <f t="shared" si="23"/>
        <v>0.50224215246636772</v>
      </c>
      <c r="BK31" s="13">
        <f t="shared" si="23"/>
        <v>0</v>
      </c>
      <c r="BL31" s="56">
        <f t="shared" si="23"/>
        <v>1</v>
      </c>
      <c r="BM31" s="48"/>
      <c r="BN31" s="48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4"/>
        <v>0</v>
      </c>
      <c r="CA31" s="13">
        <f t="shared" si="24"/>
        <v>0</v>
      </c>
      <c r="CB31" s="13">
        <f t="shared" si="24"/>
        <v>0.12121212121212122</v>
      </c>
      <c r="CC31" s="13">
        <f t="shared" si="24"/>
        <v>0.24242424242424243</v>
      </c>
      <c r="CD31" s="13">
        <f t="shared" si="24"/>
        <v>0</v>
      </c>
      <c r="CE31" s="13">
        <f t="shared" si="24"/>
        <v>8.3333333333333329E-2</v>
      </c>
      <c r="CF31" s="13">
        <f t="shared" si="24"/>
        <v>0</v>
      </c>
      <c r="CG31" s="13">
        <f t="shared" si="24"/>
        <v>0</v>
      </c>
    </row>
    <row r="32" spans="1:103" ht="15.75" thickBot="1" x14ac:dyDescent="0.3">
      <c r="A32" s="42" t="s">
        <v>108</v>
      </c>
      <c r="B32" s="4" t="s">
        <v>15</v>
      </c>
      <c r="C32" s="5">
        <v>3</v>
      </c>
      <c r="D32" s="5">
        <v>25</v>
      </c>
      <c r="E32" s="5">
        <v>0</v>
      </c>
      <c r="F32" s="26">
        <v>1</v>
      </c>
      <c r="H32" s="42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6">
        <v>2</v>
      </c>
      <c r="T32" s="18"/>
      <c r="U32">
        <f>(U27+U29+U23)</f>
        <v>135</v>
      </c>
      <c r="V32">
        <f t="shared" ref="V32:X32" si="25">(V27+V29+V23)</f>
        <v>174</v>
      </c>
      <c r="W32">
        <f t="shared" si="25"/>
        <v>33</v>
      </c>
      <c r="X32">
        <f t="shared" si="25"/>
        <v>12</v>
      </c>
      <c r="AD32" s="19"/>
      <c r="AL32" s="42" t="s">
        <v>15</v>
      </c>
      <c r="AM32" s="46">
        <f t="shared" si="0"/>
        <v>0.99035369774919613</v>
      </c>
      <c r="AN32" s="47">
        <f t="shared" si="1"/>
        <v>0.14124293785310735</v>
      </c>
      <c r="AO32" s="47">
        <f t="shared" si="2"/>
        <v>0</v>
      </c>
      <c r="AP32" s="87">
        <f t="shared" si="3"/>
        <v>0.88888888888888884</v>
      </c>
      <c r="AR32" s="42" t="s">
        <v>15</v>
      </c>
      <c r="AS32">
        <v>2</v>
      </c>
      <c r="AT32" s="48">
        <v>0.96784565916398713</v>
      </c>
      <c r="AU32" s="48">
        <v>0.2711864406779661</v>
      </c>
      <c r="AV32" s="48">
        <v>0.88461538461538458</v>
      </c>
      <c r="AW32" s="48">
        <v>0.1111111111111111</v>
      </c>
      <c r="AX32">
        <v>3</v>
      </c>
      <c r="AY32" s="48">
        <v>0.98713826366559487</v>
      </c>
      <c r="AZ32" s="48">
        <v>0.15254237288135594</v>
      </c>
      <c r="BA32" s="48">
        <v>0.96153846153846156</v>
      </c>
      <c r="BB32" s="49">
        <v>0.22222222222222221</v>
      </c>
      <c r="BC32" s="48"/>
      <c r="BD32" s="42" t="s">
        <v>12</v>
      </c>
      <c r="BE32" s="13">
        <f t="shared" si="22"/>
        <v>0</v>
      </c>
      <c r="BF32" s="13">
        <f t="shared" si="22"/>
        <v>9.606986899563319E-2</v>
      </c>
      <c r="BG32" s="13">
        <f t="shared" si="22"/>
        <v>2.4390243902439025E-2</v>
      </c>
      <c r="BH32" s="13">
        <f t="shared" si="22"/>
        <v>0.125</v>
      </c>
      <c r="BI32" s="13">
        <f t="shared" si="23"/>
        <v>0.4926590538336052</v>
      </c>
      <c r="BJ32" s="13">
        <f t="shared" si="23"/>
        <v>0.32314410480349343</v>
      </c>
      <c r="BK32" s="13">
        <f t="shared" si="23"/>
        <v>0.3902439024390244</v>
      </c>
      <c r="BL32" s="56">
        <f t="shared" si="23"/>
        <v>0.5625</v>
      </c>
      <c r="BM32" s="48"/>
      <c r="BN32" s="48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4"/>
        <v>1.1086474501108648E-2</v>
      </c>
      <c r="CA32" s="13">
        <f t="shared" si="24"/>
        <v>0.30746489283074646</v>
      </c>
      <c r="CB32" s="13">
        <f t="shared" si="24"/>
        <v>2.9563932002956393E-2</v>
      </c>
      <c r="CC32" s="13">
        <f t="shared" si="24"/>
        <v>0.14781966001478197</v>
      </c>
      <c r="CD32" s="13">
        <f t="shared" si="24"/>
        <v>0</v>
      </c>
      <c r="CE32" s="13">
        <f t="shared" si="24"/>
        <v>4.6875E-2</v>
      </c>
      <c r="CF32" s="13">
        <f t="shared" si="24"/>
        <v>0</v>
      </c>
      <c r="CG32" s="13">
        <f t="shared" si="24"/>
        <v>0.18229166666666669</v>
      </c>
    </row>
    <row r="33" spans="1:85" ht="15.75" thickBot="1" x14ac:dyDescent="0.3">
      <c r="A33" s="42" t="s">
        <v>108</v>
      </c>
      <c r="B33" s="4" t="s">
        <v>16</v>
      </c>
      <c r="C33" s="5">
        <v>50</v>
      </c>
      <c r="D33" s="5">
        <v>39</v>
      </c>
      <c r="E33" s="5">
        <v>3</v>
      </c>
      <c r="F33" s="26">
        <v>2</v>
      </c>
      <c r="H33" s="42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6">
        <v>4</v>
      </c>
      <c r="T33" s="18"/>
      <c r="AD33" s="19"/>
      <c r="AL33" s="42" t="s">
        <v>16</v>
      </c>
      <c r="AM33" s="46">
        <f t="shared" si="0"/>
        <v>0.83922829581993574</v>
      </c>
      <c r="AN33" s="47">
        <f t="shared" si="1"/>
        <v>0.22033898305084745</v>
      </c>
      <c r="AO33" s="47">
        <f t="shared" si="2"/>
        <v>0.11538461538461539</v>
      </c>
      <c r="AP33" s="87">
        <f t="shared" si="3"/>
        <v>0.77777777777777779</v>
      </c>
      <c r="AR33" s="42" t="s">
        <v>16</v>
      </c>
      <c r="AS33">
        <v>2</v>
      </c>
      <c r="AT33" s="48">
        <v>0.57234726688102899</v>
      </c>
      <c r="AU33" s="48">
        <v>0.32203389830508472</v>
      </c>
      <c r="AV33" s="48">
        <v>0.46153846153846156</v>
      </c>
      <c r="AW33" s="48">
        <v>0.33333333333333331</v>
      </c>
      <c r="AX33">
        <v>3</v>
      </c>
      <c r="AY33" s="48">
        <v>0.83279742765273312</v>
      </c>
      <c r="AZ33" s="48">
        <v>0.19209039548022599</v>
      </c>
      <c r="BA33" s="48">
        <v>0.84615384615384615</v>
      </c>
      <c r="BB33" s="49">
        <v>0.44444444444444442</v>
      </c>
      <c r="BC33" s="48"/>
      <c r="BD33" s="42" t="s">
        <v>13</v>
      </c>
      <c r="BE33" s="13">
        <f t="shared" si="22"/>
        <v>0.89814814814814814</v>
      </c>
      <c r="BF33" s="13">
        <f t="shared" si="22"/>
        <v>0.22594142259414229</v>
      </c>
      <c r="BG33" s="13">
        <f t="shared" si="22"/>
        <v>0</v>
      </c>
      <c r="BH33" s="13">
        <f t="shared" si="22"/>
        <v>0.2857142857142857</v>
      </c>
      <c r="BI33" s="13">
        <f t="shared" si="23"/>
        <v>0.93827160493827155</v>
      </c>
      <c r="BJ33" s="13">
        <f t="shared" si="23"/>
        <v>0.48535564853556484</v>
      </c>
      <c r="BK33" s="13">
        <f t="shared" si="23"/>
        <v>0.10344827586206896</v>
      </c>
      <c r="BL33" s="56">
        <f t="shared" si="23"/>
        <v>0.64285714285714279</v>
      </c>
      <c r="BM33" s="48"/>
      <c r="BN33" s="48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4"/>
        <v>0</v>
      </c>
      <c r="CA33" s="13">
        <f t="shared" si="24"/>
        <v>8.1504702194357362E-2</v>
      </c>
      <c r="CB33" s="13">
        <f t="shared" si="24"/>
        <v>9.6133751306165097E-2</v>
      </c>
      <c r="CC33" s="13">
        <f t="shared" si="24"/>
        <v>0.21734587251828633</v>
      </c>
      <c r="CD33" s="13">
        <f t="shared" si="24"/>
        <v>0</v>
      </c>
      <c r="CE33" s="13">
        <f t="shared" si="24"/>
        <v>5.3571428571428562E-2</v>
      </c>
      <c r="CF33" s="13">
        <f t="shared" si="24"/>
        <v>0</v>
      </c>
      <c r="CG33" s="13">
        <f t="shared" si="24"/>
        <v>0.14880952380952381</v>
      </c>
    </row>
    <row r="34" spans="1:85" ht="15.75" thickBot="1" x14ac:dyDescent="0.3">
      <c r="A34" s="42" t="s">
        <v>108</v>
      </c>
      <c r="B34" s="4" t="s">
        <v>17</v>
      </c>
      <c r="C34" s="5">
        <v>4</v>
      </c>
      <c r="D34" s="5">
        <v>12</v>
      </c>
      <c r="E34" s="5">
        <v>0</v>
      </c>
      <c r="F34" s="26">
        <v>0</v>
      </c>
      <c r="H34" s="42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6">
        <v>0</v>
      </c>
      <c r="T34" s="18"/>
      <c r="U34" s="7" t="s">
        <v>64</v>
      </c>
      <c r="V34" s="7" t="s">
        <v>65</v>
      </c>
      <c r="W34" s="7" t="s">
        <v>66</v>
      </c>
      <c r="X34" s="7" t="s">
        <v>67</v>
      </c>
      <c r="AD34" s="19"/>
      <c r="AL34" s="42" t="s">
        <v>17</v>
      </c>
      <c r="AM34" s="46">
        <f t="shared" si="0"/>
        <v>0.98713826366559487</v>
      </c>
      <c r="AN34" s="47">
        <f t="shared" si="1"/>
        <v>6.7796610169491525E-2</v>
      </c>
      <c r="AO34" s="47">
        <f t="shared" si="2"/>
        <v>0</v>
      </c>
      <c r="AP34" s="87">
        <f t="shared" si="3"/>
        <v>1</v>
      </c>
      <c r="AR34" s="42" t="s">
        <v>17</v>
      </c>
      <c r="AS34">
        <v>2</v>
      </c>
      <c r="AT34" s="48">
        <v>0.94212218649517687</v>
      </c>
      <c r="AU34" s="48">
        <v>5.0847457627118647E-2</v>
      </c>
      <c r="AV34" s="48">
        <v>1</v>
      </c>
      <c r="AW34" s="48">
        <v>0.1111111111111111</v>
      </c>
      <c r="AX34">
        <v>3</v>
      </c>
      <c r="AY34" s="48">
        <v>0.97106109324758838</v>
      </c>
      <c r="AZ34" s="48">
        <v>6.2146892655367235E-2</v>
      </c>
      <c r="BA34" s="48">
        <v>1</v>
      </c>
      <c r="BB34" s="49">
        <v>0</v>
      </c>
      <c r="BC34" s="48"/>
      <c r="BD34" s="42" t="s">
        <v>14</v>
      </c>
      <c r="BE34" s="13">
        <f t="shared" si="22"/>
        <v>0.70738636363636365</v>
      </c>
      <c r="BF34" s="13">
        <f t="shared" si="22"/>
        <v>0.23041474654377883</v>
      </c>
      <c r="BG34" s="13">
        <f t="shared" si="22"/>
        <v>0</v>
      </c>
      <c r="BH34" s="13">
        <f t="shared" si="22"/>
        <v>0.19999999999999998</v>
      </c>
      <c r="BI34" s="13">
        <f t="shared" si="23"/>
        <v>0.82386363636363635</v>
      </c>
      <c r="BJ34" s="13">
        <f t="shared" si="23"/>
        <v>0.41474654377880188</v>
      </c>
      <c r="BK34" s="13">
        <f t="shared" si="23"/>
        <v>3.7037037037037035E-2</v>
      </c>
      <c r="BL34" s="56">
        <f t="shared" si="23"/>
        <v>0.6</v>
      </c>
      <c r="BM34" s="48"/>
      <c r="BN34" s="48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4"/>
        <v>0</v>
      </c>
      <c r="CA34" s="13">
        <f t="shared" si="24"/>
        <v>2.918069584736251E-2</v>
      </c>
      <c r="CB34" s="13">
        <f t="shared" si="24"/>
        <v>0.11223344556677889</v>
      </c>
      <c r="CC34" s="13">
        <f t="shared" si="24"/>
        <v>0.2334455667789001</v>
      </c>
      <c r="CD34" s="13">
        <f t="shared" si="24"/>
        <v>0</v>
      </c>
      <c r="CE34" s="13">
        <f t="shared" si="24"/>
        <v>4.9999999999999996E-2</v>
      </c>
      <c r="CF34" s="13">
        <f t="shared" si="24"/>
        <v>0</v>
      </c>
      <c r="CG34" s="13">
        <f t="shared" si="24"/>
        <v>0.16666666666666669</v>
      </c>
    </row>
    <row r="35" spans="1:85" ht="15.75" thickBot="1" x14ac:dyDescent="0.3">
      <c r="A35" s="80" t="s">
        <v>108</v>
      </c>
      <c r="B35" s="81" t="s">
        <v>21</v>
      </c>
      <c r="C35" s="82">
        <v>0</v>
      </c>
      <c r="D35" s="82">
        <v>0</v>
      </c>
      <c r="E35" s="82">
        <v>0</v>
      </c>
      <c r="F35" s="83">
        <v>0</v>
      </c>
      <c r="H35" s="42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6">
        <v>0</v>
      </c>
      <c r="T35" s="15" t="s">
        <v>38</v>
      </c>
      <c r="U35" s="98">
        <f>U22/U$32</f>
        <v>1.4814814814814815E-2</v>
      </c>
      <c r="V35" s="98">
        <f>V22/V$32</f>
        <v>0.40229885057471265</v>
      </c>
      <c r="W35" s="98">
        <f>W22/W$32</f>
        <v>0.45454545454545453</v>
      </c>
      <c r="X35" s="99">
        <f>X22/X$32</f>
        <v>0</v>
      </c>
      <c r="AD35" s="19"/>
      <c r="AL35" s="62" t="s">
        <v>21</v>
      </c>
      <c r="AM35" s="88">
        <f t="shared" si="0"/>
        <v>1</v>
      </c>
      <c r="AN35" s="89">
        <f t="shared" si="1"/>
        <v>0</v>
      </c>
      <c r="AO35" s="89">
        <f t="shared" si="2"/>
        <v>0</v>
      </c>
      <c r="AP35" s="90">
        <f t="shared" si="3"/>
        <v>1</v>
      </c>
      <c r="AR35" s="42" t="s">
        <v>21</v>
      </c>
      <c r="AS35">
        <v>2</v>
      </c>
      <c r="AT35" s="48">
        <v>0.99678456591639875</v>
      </c>
      <c r="AU35" s="48">
        <v>0</v>
      </c>
      <c r="AV35" s="48">
        <v>1</v>
      </c>
      <c r="AW35" s="48">
        <v>0</v>
      </c>
      <c r="AX35">
        <v>3</v>
      </c>
      <c r="AY35" s="48">
        <v>1</v>
      </c>
      <c r="AZ35" s="48">
        <v>5.6497175141242938E-3</v>
      </c>
      <c r="BA35" s="48">
        <v>1</v>
      </c>
      <c r="BB35" s="49">
        <v>0</v>
      </c>
      <c r="BC35" s="48"/>
      <c r="BD35" s="42" t="s">
        <v>15</v>
      </c>
      <c r="BE35" s="13">
        <f t="shared" si="22"/>
        <v>0.94654088050314467</v>
      </c>
      <c r="BF35" s="13">
        <f t="shared" si="22"/>
        <v>7.6923076923076927E-2</v>
      </c>
      <c r="BG35" s="13">
        <f t="shared" si="22"/>
        <v>0</v>
      </c>
      <c r="BH35" s="13">
        <f t="shared" si="22"/>
        <v>0.63636363636363635</v>
      </c>
      <c r="BI35" s="13">
        <f t="shared" si="23"/>
        <v>0.96855345911949686</v>
      </c>
      <c r="BJ35" s="13">
        <f t="shared" si="23"/>
        <v>0.32051282051282048</v>
      </c>
      <c r="BK35" s="13">
        <f t="shared" si="23"/>
        <v>0.10344827586206896</v>
      </c>
      <c r="BL35" s="56">
        <f t="shared" si="23"/>
        <v>0.81818181818181812</v>
      </c>
      <c r="BM35" s="48"/>
      <c r="BN35" s="48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4"/>
        <v>0</v>
      </c>
      <c r="CA35" s="13">
        <f t="shared" si="24"/>
        <v>8.1504702194357362E-2</v>
      </c>
      <c r="CB35" s="13">
        <f t="shared" si="24"/>
        <v>9.6133751306165097E-2</v>
      </c>
      <c r="CC35" s="13">
        <f t="shared" si="24"/>
        <v>0.21734587251828633</v>
      </c>
      <c r="CD35" s="13">
        <f t="shared" si="24"/>
        <v>0</v>
      </c>
      <c r="CE35" s="13">
        <f t="shared" si="24"/>
        <v>6.8181818181818177E-2</v>
      </c>
      <c r="CF35" s="13">
        <f t="shared" si="24"/>
        <v>0</v>
      </c>
      <c r="CG35" s="13">
        <f t="shared" si="24"/>
        <v>7.5757575757575746E-2</v>
      </c>
    </row>
    <row r="36" spans="1:85" ht="15.75" thickBot="1" x14ac:dyDescent="0.3">
      <c r="A36" s="39" t="s">
        <v>118</v>
      </c>
      <c r="B36" s="77" t="s">
        <v>1</v>
      </c>
      <c r="C36" s="78">
        <v>144</v>
      </c>
      <c r="D36" s="78">
        <v>51</v>
      </c>
      <c r="E36" s="78">
        <v>6</v>
      </c>
      <c r="F36" s="79">
        <v>2</v>
      </c>
      <c r="H36" s="42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6">
        <v>1</v>
      </c>
      <c r="T36" s="18"/>
      <c r="U36" s="13">
        <f>U27/U$32</f>
        <v>6.6666666666666666E-2</v>
      </c>
      <c r="V36" s="13">
        <f>V27/V$32</f>
        <v>0.55172413793103448</v>
      </c>
      <c r="W36" s="13">
        <f>W27/W$32</f>
        <v>0.78787878787878785</v>
      </c>
      <c r="X36" s="56">
        <f>X27/X$32</f>
        <v>8.3333333333333329E-2</v>
      </c>
      <c r="AD36" s="19"/>
      <c r="AL36" s="42" t="s">
        <v>1</v>
      </c>
      <c r="AM36" s="94">
        <f t="shared" ref="AM36:AM67" si="26">(AG$4-C36)/(AG$4-AG$5)</f>
        <v>0.53697749196141475</v>
      </c>
      <c r="AN36" s="95">
        <f t="shared" ref="AN36:AN67" si="27">(D36-AH$5)/(AH$4-AH$5)</f>
        <v>0.28813559322033899</v>
      </c>
      <c r="AO36" s="95">
        <f t="shared" ref="AO36:AO67" si="28">(E36-AI$5)/(AI$4-AI$5)</f>
        <v>0.23076923076923078</v>
      </c>
      <c r="AP36" s="96">
        <f t="shared" ref="AP36:AP67" si="29">(AJ$4-F36)/(AJ$4-AJ$5)</f>
        <v>0.77777777777777779</v>
      </c>
      <c r="AR36" s="42" t="s">
        <v>1</v>
      </c>
      <c r="AS36">
        <v>4</v>
      </c>
      <c r="AT36" s="48">
        <v>0.94212218649517687</v>
      </c>
      <c r="AU36" s="48">
        <v>0.60451977401129942</v>
      </c>
      <c r="AV36" s="48">
        <v>0.92307692307692313</v>
      </c>
      <c r="AW36" s="48">
        <v>0.33333333333333331</v>
      </c>
      <c r="AX36">
        <v>5</v>
      </c>
      <c r="AY36" s="48">
        <v>0.98392282958199362</v>
      </c>
      <c r="AZ36" s="48">
        <v>0.39548022598870058</v>
      </c>
      <c r="BA36" s="48">
        <v>0.92307692307692313</v>
      </c>
      <c r="BB36" s="49">
        <v>0.1111111111111111</v>
      </c>
      <c r="BC36" s="48"/>
      <c r="BD36" s="42" t="s">
        <v>16</v>
      </c>
      <c r="BE36" s="13">
        <f t="shared" si="22"/>
        <v>0.43842364532019712</v>
      </c>
      <c r="BF36" s="13">
        <f t="shared" si="22"/>
        <v>0.14912280701754388</v>
      </c>
      <c r="BG36" s="13">
        <f t="shared" si="22"/>
        <v>2.5000000000000005E-2</v>
      </c>
      <c r="BH36" s="13">
        <f t="shared" si="22"/>
        <v>0</v>
      </c>
      <c r="BI36" s="13">
        <f t="shared" si="23"/>
        <v>0.6724137931034484</v>
      </c>
      <c r="BJ36" s="13">
        <f t="shared" si="23"/>
        <v>0.3728070175438597</v>
      </c>
      <c r="BK36" s="13">
        <f t="shared" si="23"/>
        <v>0.375</v>
      </c>
      <c r="BL36" s="56">
        <f t="shared" si="23"/>
        <v>0.43750000000000006</v>
      </c>
      <c r="BM36" s="48"/>
      <c r="BN36" s="48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4"/>
        <v>1.1363636363636366E-2</v>
      </c>
      <c r="CA36" s="13">
        <f t="shared" si="24"/>
        <v>0.29545454545454541</v>
      </c>
      <c r="CB36" s="13">
        <f t="shared" si="24"/>
        <v>3.3333333333333347E-2</v>
      </c>
      <c r="CC36" s="13">
        <f t="shared" si="24"/>
        <v>0.15151515151515155</v>
      </c>
      <c r="CD36" s="13">
        <f t="shared" si="24"/>
        <v>0</v>
      </c>
      <c r="CE36" s="13">
        <f t="shared" si="24"/>
        <v>3.6458333333333336E-2</v>
      </c>
      <c r="CF36" s="13">
        <f t="shared" si="24"/>
        <v>2.0833333333333332E-2</v>
      </c>
      <c r="CG36" s="13">
        <f t="shared" si="24"/>
        <v>0.234375</v>
      </c>
    </row>
    <row r="37" spans="1:85" ht="15.75" thickBot="1" x14ac:dyDescent="0.3">
      <c r="A37" s="42" t="s">
        <v>118</v>
      </c>
      <c r="B37" s="4" t="s">
        <v>2</v>
      </c>
      <c r="C37" s="5">
        <v>1</v>
      </c>
      <c r="D37" s="5">
        <v>27</v>
      </c>
      <c r="E37" s="5">
        <v>7</v>
      </c>
      <c r="F37" s="26">
        <v>0</v>
      </c>
      <c r="H37" s="42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6">
        <v>0</v>
      </c>
      <c r="T37" s="18" t="s">
        <v>39</v>
      </c>
      <c r="U37" s="13">
        <f>U23/U$32</f>
        <v>7.407407407407407E-2</v>
      </c>
      <c r="V37" s="13">
        <f>V23/V$32</f>
        <v>0.22988505747126436</v>
      </c>
      <c r="W37" s="13">
        <f>W23/W$32</f>
        <v>0.12121212121212122</v>
      </c>
      <c r="X37" s="56">
        <f>X23/X$32</f>
        <v>0.16666666666666666</v>
      </c>
      <c r="AD37" s="19"/>
      <c r="AL37" s="42" t="s">
        <v>2</v>
      </c>
      <c r="AM37" s="46">
        <f t="shared" si="26"/>
        <v>0.99678456591639875</v>
      </c>
      <c r="AN37" s="47">
        <f t="shared" si="27"/>
        <v>0.15254237288135594</v>
      </c>
      <c r="AO37" s="47">
        <f t="shared" si="28"/>
        <v>0.26923076923076922</v>
      </c>
      <c r="AP37" s="87">
        <f t="shared" si="29"/>
        <v>1</v>
      </c>
      <c r="AR37" s="42" t="s">
        <v>2</v>
      </c>
      <c r="AS37">
        <v>4</v>
      </c>
      <c r="AT37" s="48">
        <v>0.99678456591639875</v>
      </c>
      <c r="AU37" s="48">
        <v>0.81355932203389836</v>
      </c>
      <c r="AV37" s="48">
        <v>0.88461538461538458</v>
      </c>
      <c r="AW37" s="48">
        <v>0.1111111111111111</v>
      </c>
      <c r="AX37">
        <v>5</v>
      </c>
      <c r="AY37" s="48">
        <v>0.99356913183279738</v>
      </c>
      <c r="AZ37" s="48">
        <v>0.3559322033898305</v>
      </c>
      <c r="BA37" s="48">
        <v>0</v>
      </c>
      <c r="BB37" s="49">
        <v>0</v>
      </c>
      <c r="BC37" s="48"/>
      <c r="BD37" s="42" t="s">
        <v>17</v>
      </c>
      <c r="BE37" s="13">
        <f t="shared" si="22"/>
        <v>0.85585585585585566</v>
      </c>
      <c r="BF37" s="13">
        <f t="shared" si="22"/>
        <v>4.0723981900452497E-2</v>
      </c>
      <c r="BG37" s="13">
        <f t="shared" si="22"/>
        <v>0</v>
      </c>
      <c r="BH37" s="13">
        <f t="shared" si="22"/>
        <v>0.63636363636363635</v>
      </c>
      <c r="BI37" s="13">
        <f t="shared" si="23"/>
        <v>0.92192192192192179</v>
      </c>
      <c r="BJ37" s="13">
        <f t="shared" si="23"/>
        <v>0.23981900452488691</v>
      </c>
      <c r="BK37" s="13">
        <f t="shared" si="23"/>
        <v>3.7037037037037035E-2</v>
      </c>
      <c r="BL37" s="56">
        <f t="shared" si="23"/>
        <v>0.81818181818181812</v>
      </c>
      <c r="BM37" s="48"/>
      <c r="BN37" s="48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4"/>
        <v>0</v>
      </c>
      <c r="CA37" s="13">
        <f t="shared" si="24"/>
        <v>2.918069584736251E-2</v>
      </c>
      <c r="CB37" s="13">
        <f t="shared" si="24"/>
        <v>0.11223344556677889</v>
      </c>
      <c r="CC37" s="13">
        <f t="shared" si="24"/>
        <v>0.2334455667789001</v>
      </c>
      <c r="CD37" s="13">
        <f t="shared" si="24"/>
        <v>0</v>
      </c>
      <c r="CE37" s="13">
        <f t="shared" si="24"/>
        <v>6.8181818181818177E-2</v>
      </c>
      <c r="CF37" s="13">
        <f t="shared" si="24"/>
        <v>0</v>
      </c>
      <c r="CG37" s="13">
        <f t="shared" si="24"/>
        <v>7.5757575757575746E-2</v>
      </c>
    </row>
    <row r="38" spans="1:85" ht="15.75" thickBot="1" x14ac:dyDescent="0.3">
      <c r="A38" s="42" t="s">
        <v>118</v>
      </c>
      <c r="B38" s="4" t="s">
        <v>4</v>
      </c>
      <c r="C38" s="5">
        <v>34</v>
      </c>
      <c r="D38" s="5">
        <v>8</v>
      </c>
      <c r="E38" s="5">
        <v>0</v>
      </c>
      <c r="F38" s="26">
        <v>0</v>
      </c>
      <c r="H38" s="42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6">
        <v>2</v>
      </c>
      <c r="T38" s="20"/>
      <c r="U38" s="63">
        <f>U28/U$32</f>
        <v>0.2074074074074074</v>
      </c>
      <c r="V38" s="63">
        <f>V28/V$32</f>
        <v>0.37931034482758619</v>
      </c>
      <c r="W38" s="63">
        <f>W28/W$32</f>
        <v>0.24242424242424243</v>
      </c>
      <c r="X38" s="64">
        <f>X28/X$32</f>
        <v>0.41666666666666669</v>
      </c>
      <c r="AD38" s="19"/>
      <c r="AL38" s="42" t="s">
        <v>4</v>
      </c>
      <c r="AM38" s="46">
        <f t="shared" si="26"/>
        <v>0.89067524115755625</v>
      </c>
      <c r="AN38" s="47">
        <f t="shared" si="27"/>
        <v>4.519774011299435E-2</v>
      </c>
      <c r="AO38" s="47">
        <f t="shared" si="28"/>
        <v>0</v>
      </c>
      <c r="AP38" s="87">
        <f t="shared" si="29"/>
        <v>1</v>
      </c>
      <c r="AR38" s="42" t="s">
        <v>4</v>
      </c>
      <c r="AS38">
        <v>4</v>
      </c>
      <c r="AT38" s="48">
        <v>0.74919614147909963</v>
      </c>
      <c r="AU38" s="48">
        <v>0.12994350282485875</v>
      </c>
      <c r="AV38" s="48">
        <v>0.92307692307692313</v>
      </c>
      <c r="AW38" s="48">
        <v>0.1111111111111111</v>
      </c>
      <c r="AX38">
        <v>5</v>
      </c>
      <c r="AY38" s="48">
        <v>0.909967845659164</v>
      </c>
      <c r="AZ38" s="48">
        <v>7.909604519774012E-2</v>
      </c>
      <c r="BA38" s="48">
        <v>0.96153846153846156</v>
      </c>
      <c r="BB38" s="49">
        <v>0.22222222222222221</v>
      </c>
      <c r="BC38" s="48"/>
      <c r="BD38" s="42" t="s">
        <v>21</v>
      </c>
      <c r="BE38" s="13">
        <f t="shared" si="22"/>
        <v>0.97460317460317469</v>
      </c>
      <c r="BF38" s="13">
        <f t="shared" si="22"/>
        <v>0</v>
      </c>
      <c r="BG38" s="13">
        <f t="shared" si="22"/>
        <v>0</v>
      </c>
      <c r="BH38" s="13">
        <f t="shared" si="22"/>
        <v>0.79999999999999993</v>
      </c>
      <c r="BI38" s="13">
        <f t="shared" si="23"/>
        <v>0.98730158730158746</v>
      </c>
      <c r="BJ38" s="13">
        <f t="shared" si="23"/>
        <v>0.35164835164835168</v>
      </c>
      <c r="BK38" s="13">
        <f t="shared" si="23"/>
        <v>0.23529411764705882</v>
      </c>
      <c r="BL38" s="56">
        <f t="shared" si="23"/>
        <v>0.89999999999999991</v>
      </c>
      <c r="BM38" s="48"/>
      <c r="BN38" s="48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4"/>
        <v>0</v>
      </c>
      <c r="CA38" s="13">
        <f t="shared" si="24"/>
        <v>0.1853832442067736</v>
      </c>
      <c r="CB38" s="13">
        <f t="shared" si="24"/>
        <v>6.4171122994652413E-2</v>
      </c>
      <c r="CC38" s="13">
        <f t="shared" si="24"/>
        <v>0.1853832442067736</v>
      </c>
      <c r="CD38" s="13">
        <f t="shared" si="24"/>
        <v>0</v>
      </c>
      <c r="CE38" s="13">
        <f t="shared" si="24"/>
        <v>7.4999999999999983E-2</v>
      </c>
      <c r="CF38" s="13">
        <f t="shared" si="24"/>
        <v>0</v>
      </c>
      <c r="CG38" s="13">
        <f t="shared" si="24"/>
        <v>4.1666666666666685E-2</v>
      </c>
    </row>
    <row r="39" spans="1:85" ht="16.5" thickBot="1" x14ac:dyDescent="0.3">
      <c r="A39" s="42" t="s">
        <v>118</v>
      </c>
      <c r="B39" s="4" t="s">
        <v>5</v>
      </c>
      <c r="C39" s="5">
        <v>27</v>
      </c>
      <c r="D39" s="5">
        <v>34</v>
      </c>
      <c r="E39" s="5">
        <v>2</v>
      </c>
      <c r="F39" s="26">
        <v>1</v>
      </c>
      <c r="H39" s="42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6">
        <v>0</v>
      </c>
      <c r="T39" s="18" t="s">
        <v>121</v>
      </c>
      <c r="AD39" s="19"/>
      <c r="AL39" s="42" t="s">
        <v>5</v>
      </c>
      <c r="AM39" s="46">
        <f t="shared" si="26"/>
        <v>0.91318327974276525</v>
      </c>
      <c r="AN39" s="47">
        <f t="shared" si="27"/>
        <v>0.19209039548022599</v>
      </c>
      <c r="AO39" s="47">
        <f t="shared" si="28"/>
        <v>7.6923076923076927E-2</v>
      </c>
      <c r="AP39" s="87">
        <f t="shared" si="29"/>
        <v>0.88888888888888884</v>
      </c>
      <c r="AR39" s="42" t="s">
        <v>5</v>
      </c>
      <c r="AS39">
        <v>4</v>
      </c>
      <c r="AT39" s="48">
        <v>0.89389067524115751</v>
      </c>
      <c r="AU39" s="48">
        <v>0.49152542372881358</v>
      </c>
      <c r="AV39" s="48">
        <v>1</v>
      </c>
      <c r="AW39" s="48">
        <v>0</v>
      </c>
      <c r="AX39">
        <v>5</v>
      </c>
      <c r="AY39" s="48">
        <v>0.909967845659164</v>
      </c>
      <c r="AZ39" s="48">
        <v>0.31638418079096048</v>
      </c>
      <c r="BA39" s="48">
        <v>1</v>
      </c>
      <c r="BB39" s="49">
        <v>0</v>
      </c>
      <c r="BC39" s="48"/>
      <c r="BD39" s="100" t="s">
        <v>41</v>
      </c>
      <c r="BE39" s="102" t="s">
        <v>111</v>
      </c>
      <c r="BF39" s="102"/>
      <c r="BG39" s="102"/>
      <c r="BH39" s="102"/>
      <c r="BI39" s="102" t="s">
        <v>112</v>
      </c>
      <c r="BJ39" s="102"/>
      <c r="BK39" s="102"/>
      <c r="BL39" s="103"/>
      <c r="BM39" s="48"/>
      <c r="BN39" s="48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42" t="s">
        <v>118</v>
      </c>
      <c r="B40" s="4" t="s">
        <v>6</v>
      </c>
      <c r="C40" s="5">
        <v>46</v>
      </c>
      <c r="D40" s="5">
        <v>110</v>
      </c>
      <c r="E40" s="5">
        <v>0</v>
      </c>
      <c r="F40" s="26">
        <v>2</v>
      </c>
      <c r="H40" s="42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6">
        <v>0</v>
      </c>
      <c r="T40" s="18"/>
      <c r="U40" s="13">
        <f>1+(U35+U36)/2-(U37+U38)/2</f>
        <v>0.9</v>
      </c>
      <c r="V40" s="13">
        <f>1+(V35+V36)/2-(V37+V38)/2</f>
        <v>1.1724137931034484</v>
      </c>
      <c r="W40" s="13">
        <f>1+(W35+W36)/2-(W37+W38)/2</f>
        <v>1.4393939393939392</v>
      </c>
      <c r="X40" s="13">
        <f>1+(X35+X36)/2-(X37+X38)/2</f>
        <v>0.75</v>
      </c>
      <c r="AD40" s="19"/>
      <c r="AL40" s="42" t="s">
        <v>6</v>
      </c>
      <c r="AM40" s="46">
        <f t="shared" si="26"/>
        <v>0.85209003215434087</v>
      </c>
      <c r="AN40" s="47">
        <f t="shared" si="27"/>
        <v>0.62146892655367236</v>
      </c>
      <c r="AO40" s="47">
        <f t="shared" si="28"/>
        <v>0</v>
      </c>
      <c r="AP40" s="87">
        <f t="shared" si="29"/>
        <v>0.77777777777777779</v>
      </c>
      <c r="AR40" s="42" t="s">
        <v>6</v>
      </c>
      <c r="AS40">
        <v>4</v>
      </c>
      <c r="AT40" s="48">
        <v>0.90353697749196138</v>
      </c>
      <c r="AU40" s="48">
        <v>0.4463276836158192</v>
      </c>
      <c r="AV40" s="48">
        <v>0.88461538461538458</v>
      </c>
      <c r="AW40" s="48">
        <v>0.1111111111111111</v>
      </c>
      <c r="AX40">
        <v>5</v>
      </c>
      <c r="AY40" s="48">
        <v>0.83601286173633438</v>
      </c>
      <c r="AZ40" s="48">
        <v>0.3728813559322034</v>
      </c>
      <c r="BA40" s="48">
        <v>0.88461538461538458</v>
      </c>
      <c r="BB40" s="49">
        <v>0</v>
      </c>
      <c r="BC40" s="48"/>
      <c r="BD40" s="101"/>
      <c r="BE40" s="50" t="s">
        <v>64</v>
      </c>
      <c r="BF40" s="50" t="s">
        <v>65</v>
      </c>
      <c r="BG40" s="50" t="s">
        <v>66</v>
      </c>
      <c r="BH40" s="50" t="s">
        <v>67</v>
      </c>
      <c r="BI40" s="50" t="s">
        <v>64</v>
      </c>
      <c r="BJ40" s="50" t="s">
        <v>65</v>
      </c>
      <c r="BK40" s="50" t="s">
        <v>66</v>
      </c>
      <c r="BL40" s="51" t="s">
        <v>67</v>
      </c>
      <c r="BM40" s="48"/>
      <c r="BN40" s="48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42" t="s">
        <v>118</v>
      </c>
      <c r="B41" s="4" t="s">
        <v>8</v>
      </c>
      <c r="C41" s="5">
        <v>35</v>
      </c>
      <c r="D41" s="5">
        <v>47</v>
      </c>
      <c r="E41" s="5">
        <v>1</v>
      </c>
      <c r="F41" s="26">
        <v>1</v>
      </c>
      <c r="H41" s="42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6">
        <v>1</v>
      </c>
      <c r="T41" s="65">
        <f>SUM(U40:X40)/2</f>
        <v>2.1309038662486937</v>
      </c>
      <c r="U41" s="21"/>
      <c r="V41" s="21"/>
      <c r="W41" s="21"/>
      <c r="X41" s="21"/>
      <c r="Y41" s="21"/>
      <c r="Z41" s="21"/>
      <c r="AA41" s="21"/>
      <c r="AB41" s="21"/>
      <c r="AC41" s="21"/>
      <c r="AD41" s="22"/>
      <c r="AL41" s="42" t="s">
        <v>8</v>
      </c>
      <c r="AM41" s="46">
        <f t="shared" si="26"/>
        <v>0.887459807073955</v>
      </c>
      <c r="AN41" s="47">
        <f t="shared" si="27"/>
        <v>0.2655367231638418</v>
      </c>
      <c r="AO41" s="47">
        <f t="shared" si="28"/>
        <v>3.8461538461538464E-2</v>
      </c>
      <c r="AP41" s="87">
        <f t="shared" si="29"/>
        <v>0.88888888888888884</v>
      </c>
      <c r="AR41" s="42" t="s">
        <v>8</v>
      </c>
      <c r="AS41">
        <v>4</v>
      </c>
      <c r="AT41" s="48">
        <v>0.87781350482315113</v>
      </c>
      <c r="AU41" s="48">
        <v>0.2824858757062147</v>
      </c>
      <c r="AV41" s="48">
        <v>0.96153846153846156</v>
      </c>
      <c r="AW41" s="48">
        <v>0.33333333333333331</v>
      </c>
      <c r="AX41">
        <v>5</v>
      </c>
      <c r="AY41" s="48">
        <v>0.93569131832797425</v>
      </c>
      <c r="AZ41" s="48">
        <v>0.1864406779661017</v>
      </c>
      <c r="BA41" s="48">
        <v>0.96153846153846156</v>
      </c>
      <c r="BB41" s="49">
        <v>0.1111111111111111</v>
      </c>
      <c r="BC41" s="48"/>
      <c r="BD41" s="42" t="s">
        <v>1</v>
      </c>
      <c r="BE41" s="13">
        <f t="shared" ref="BE41:BH56" si="30">(1-BI5)/(BI5+1-BE5)</f>
        <v>8.8691796008869041E-3</v>
      </c>
      <c r="BF41" s="13">
        <f t="shared" si="30"/>
        <v>0.27777777777777785</v>
      </c>
      <c r="BG41" s="13">
        <f t="shared" si="30"/>
        <v>0.64516129032258063</v>
      </c>
      <c r="BH41" s="13">
        <f t="shared" si="30"/>
        <v>0</v>
      </c>
      <c r="BI41" s="13">
        <f t="shared" ref="BI41:BL56" si="31">(1-BE5)/(BI5+1-BE5)</f>
        <v>0.31929046563192903</v>
      </c>
      <c r="BJ41" s="13">
        <f t="shared" si="31"/>
        <v>0.57539682539682546</v>
      </c>
      <c r="BK41" s="13">
        <f t="shared" si="31"/>
        <v>0.80645161290322587</v>
      </c>
      <c r="BL41" s="56">
        <f t="shared" si="31"/>
        <v>0.25</v>
      </c>
      <c r="BM41" s="48"/>
      <c r="BN41" s="48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42" t="s">
        <v>118</v>
      </c>
      <c r="B42" s="4" t="s">
        <v>9</v>
      </c>
      <c r="C42" s="5">
        <v>26</v>
      </c>
      <c r="D42" s="5">
        <v>25</v>
      </c>
      <c r="E42" s="5">
        <v>3</v>
      </c>
      <c r="F42" s="26">
        <v>1</v>
      </c>
      <c r="H42" s="42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6">
        <v>9</v>
      </c>
      <c r="AL42" s="42" t="s">
        <v>9</v>
      </c>
      <c r="AM42" s="46">
        <f t="shared" si="26"/>
        <v>0.91639871382636651</v>
      </c>
      <c r="AN42" s="47">
        <f t="shared" si="27"/>
        <v>0.14124293785310735</v>
      </c>
      <c r="AO42" s="47">
        <f t="shared" si="28"/>
        <v>0.11538461538461539</v>
      </c>
      <c r="AP42" s="87">
        <f t="shared" si="29"/>
        <v>0.88888888888888884</v>
      </c>
      <c r="AR42" s="42" t="s">
        <v>9</v>
      </c>
      <c r="AS42">
        <v>4</v>
      </c>
      <c r="AT42" s="48">
        <v>0.6463022508038585</v>
      </c>
      <c r="AU42" s="48">
        <v>1</v>
      </c>
      <c r="AV42" s="48">
        <v>0.96153846153846156</v>
      </c>
      <c r="AW42" s="48">
        <v>0.55555555555555558</v>
      </c>
      <c r="AX42">
        <v>5</v>
      </c>
      <c r="AY42" s="48">
        <v>0.62700964630225076</v>
      </c>
      <c r="AZ42" s="48">
        <v>0.22598870056497175</v>
      </c>
      <c r="BA42" s="48">
        <v>0.96153846153846156</v>
      </c>
      <c r="BB42" s="49">
        <v>1</v>
      </c>
      <c r="BC42" s="48"/>
      <c r="BD42" s="42" t="s">
        <v>2</v>
      </c>
      <c r="BE42" s="13">
        <f t="shared" si="30"/>
        <v>0</v>
      </c>
      <c r="BF42" s="13">
        <f t="shared" si="30"/>
        <v>0.1103678929765886</v>
      </c>
      <c r="BG42" s="13">
        <f t="shared" si="30"/>
        <v>0</v>
      </c>
      <c r="BH42" s="13">
        <f t="shared" si="30"/>
        <v>0</v>
      </c>
      <c r="BI42" s="13">
        <f t="shared" si="31"/>
        <v>6.3897763578275226E-3</v>
      </c>
      <c r="BJ42" s="13">
        <f t="shared" si="31"/>
        <v>0.51839464882943143</v>
      </c>
      <c r="BK42" s="13">
        <f t="shared" si="31"/>
        <v>0.48000000000000004</v>
      </c>
      <c r="BL42" s="56">
        <f t="shared" si="31"/>
        <v>0.10000000000000003</v>
      </c>
      <c r="BM42" s="48"/>
      <c r="BN42" s="48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42" t="s">
        <v>118</v>
      </c>
      <c r="B43" s="4" t="s">
        <v>10</v>
      </c>
      <c r="C43" s="5">
        <v>107</v>
      </c>
      <c r="D43" s="5">
        <v>46</v>
      </c>
      <c r="E43" s="5">
        <v>1</v>
      </c>
      <c r="F43" s="26">
        <v>3</v>
      </c>
      <c r="H43" s="42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26">
        <v>6</v>
      </c>
      <c r="AL43" s="42" t="s">
        <v>10</v>
      </c>
      <c r="AM43" s="46">
        <f t="shared" si="26"/>
        <v>0.65594855305466238</v>
      </c>
      <c r="AN43" s="47">
        <f t="shared" si="27"/>
        <v>0.25988700564971751</v>
      </c>
      <c r="AO43" s="47">
        <f t="shared" si="28"/>
        <v>3.8461538461538464E-2</v>
      </c>
      <c r="AP43" s="87">
        <f t="shared" si="29"/>
        <v>0.66666666666666663</v>
      </c>
      <c r="AR43" s="42" t="s">
        <v>10</v>
      </c>
      <c r="AS43">
        <v>4</v>
      </c>
      <c r="AT43" s="48">
        <v>0.54019292604501612</v>
      </c>
      <c r="AU43" s="48">
        <v>0.31638418079096048</v>
      </c>
      <c r="AV43" s="48">
        <v>0.65384615384615385</v>
      </c>
      <c r="AW43" s="48">
        <v>0.66666666666666663</v>
      </c>
      <c r="AX43">
        <v>5</v>
      </c>
      <c r="AY43" s="48">
        <v>0.65273311897106112</v>
      </c>
      <c r="AZ43" s="48">
        <v>0.30508474576271188</v>
      </c>
      <c r="BA43" s="48">
        <v>0.84615384615384615</v>
      </c>
      <c r="BB43" s="49">
        <v>0.66666666666666663</v>
      </c>
      <c r="BC43" s="48"/>
      <c r="BD43" s="42" t="s">
        <v>4</v>
      </c>
      <c r="BE43" s="13">
        <f t="shared" si="30"/>
        <v>4.010695187165772E-2</v>
      </c>
      <c r="BF43" s="13">
        <f t="shared" si="30"/>
        <v>0.80208333333333326</v>
      </c>
      <c r="BG43" s="13">
        <f t="shared" si="30"/>
        <v>0.85714285714285721</v>
      </c>
      <c r="BH43" s="13">
        <f t="shared" si="30"/>
        <v>0</v>
      </c>
      <c r="BI43" s="13">
        <f t="shared" si="31"/>
        <v>0.20855614973262038</v>
      </c>
      <c r="BJ43" s="13">
        <f t="shared" si="31"/>
        <v>0.88020833333333326</v>
      </c>
      <c r="BK43" s="13">
        <f t="shared" si="31"/>
        <v>0.9285714285714286</v>
      </c>
      <c r="BL43" s="56">
        <f t="shared" si="31"/>
        <v>0.1818181818181818</v>
      </c>
      <c r="BM43" s="48"/>
      <c r="BN43" s="48"/>
    </row>
    <row r="44" spans="1:85" ht="15.75" thickBot="1" x14ac:dyDescent="0.3">
      <c r="A44" s="42" t="s">
        <v>118</v>
      </c>
      <c r="B44" s="4" t="s">
        <v>11</v>
      </c>
      <c r="C44" s="5">
        <v>3</v>
      </c>
      <c r="D44" s="5">
        <v>86</v>
      </c>
      <c r="E44" s="5">
        <v>0</v>
      </c>
      <c r="F44" s="26">
        <v>0</v>
      </c>
      <c r="H44" s="42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26">
        <v>0</v>
      </c>
      <c r="AL44" s="42" t="s">
        <v>11</v>
      </c>
      <c r="AM44" s="46">
        <f t="shared" si="26"/>
        <v>0.99035369774919613</v>
      </c>
      <c r="AN44" s="47">
        <f t="shared" si="27"/>
        <v>0.48587570621468928</v>
      </c>
      <c r="AO44" s="47">
        <f t="shared" si="28"/>
        <v>0</v>
      </c>
      <c r="AP44" s="87">
        <f t="shared" si="29"/>
        <v>1</v>
      </c>
      <c r="AR44" s="42" t="s">
        <v>11</v>
      </c>
      <c r="AS44">
        <v>4</v>
      </c>
      <c r="AT44" s="48">
        <v>0.99678456591639875</v>
      </c>
      <c r="AU44" s="48">
        <v>0.63276836158192096</v>
      </c>
      <c r="AV44" s="48">
        <v>1</v>
      </c>
      <c r="AW44" s="48">
        <v>0</v>
      </c>
      <c r="AX44">
        <v>5</v>
      </c>
      <c r="AY44" s="48">
        <v>0.99035369774919613</v>
      </c>
      <c r="AZ44" s="48">
        <v>0.40677966101694918</v>
      </c>
      <c r="BA44" s="48">
        <v>1</v>
      </c>
      <c r="BB44" s="49">
        <v>0</v>
      </c>
      <c r="BC44" s="48"/>
      <c r="BD44" s="42" t="s">
        <v>5</v>
      </c>
      <c r="BE44" s="13">
        <f t="shared" si="30"/>
        <v>1.4705882352941131E-2</v>
      </c>
      <c r="BF44" s="13">
        <f t="shared" si="30"/>
        <v>0.375</v>
      </c>
      <c r="BG44" s="13">
        <f t="shared" si="30"/>
        <v>0.85714285714285721</v>
      </c>
      <c r="BH44" s="13">
        <f t="shared" si="30"/>
        <v>0</v>
      </c>
      <c r="BI44" s="13">
        <f t="shared" si="31"/>
        <v>0.10000000000000002</v>
      </c>
      <c r="BJ44" s="13">
        <f t="shared" si="31"/>
        <v>0.63750000000000007</v>
      </c>
      <c r="BK44" s="13">
        <f t="shared" si="31"/>
        <v>0.9285714285714286</v>
      </c>
      <c r="BL44" s="56">
        <f t="shared" si="31"/>
        <v>0.1818181818181818</v>
      </c>
      <c r="BM44" s="48"/>
      <c r="BN44" s="48"/>
    </row>
    <row r="45" spans="1:85" ht="15.75" thickBot="1" x14ac:dyDescent="0.3">
      <c r="A45" s="42" t="s">
        <v>118</v>
      </c>
      <c r="B45" s="4" t="s">
        <v>12</v>
      </c>
      <c r="C45" s="5">
        <v>23</v>
      </c>
      <c r="D45" s="5">
        <v>37</v>
      </c>
      <c r="E45" s="5">
        <v>4</v>
      </c>
      <c r="F45" s="26">
        <v>1</v>
      </c>
      <c r="H45" s="42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26">
        <v>1</v>
      </c>
      <c r="AL45" s="42" t="s">
        <v>12</v>
      </c>
      <c r="AM45" s="46">
        <f t="shared" si="26"/>
        <v>0.92604501607717038</v>
      </c>
      <c r="AN45" s="47">
        <f t="shared" si="27"/>
        <v>0.20903954802259886</v>
      </c>
      <c r="AO45" s="47">
        <f t="shared" si="28"/>
        <v>0.15384615384615385</v>
      </c>
      <c r="AP45" s="87">
        <f t="shared" si="29"/>
        <v>0.88888888888888884</v>
      </c>
      <c r="AR45" s="42" t="s">
        <v>12</v>
      </c>
      <c r="AS45">
        <v>4</v>
      </c>
      <c r="AT45" s="48">
        <v>0.93890675241157562</v>
      </c>
      <c r="AU45" s="48">
        <v>0.41807909604519772</v>
      </c>
      <c r="AV45" s="48">
        <v>0.76923076923076927</v>
      </c>
      <c r="AW45" s="48">
        <v>0.22222222222222221</v>
      </c>
      <c r="AX45">
        <v>5</v>
      </c>
      <c r="AY45" s="48">
        <v>0.97106109324758838</v>
      </c>
      <c r="AZ45" s="48">
        <v>0.21468926553672316</v>
      </c>
      <c r="BA45" s="48">
        <v>0.96153846153846156</v>
      </c>
      <c r="BB45" s="49">
        <v>0.1111111111111111</v>
      </c>
      <c r="BC45" s="48"/>
      <c r="BD45" s="42" t="s">
        <v>6</v>
      </c>
      <c r="BE45" s="13">
        <f t="shared" si="30"/>
        <v>5.7471264367816119E-2</v>
      </c>
      <c r="BF45" s="13">
        <f t="shared" si="30"/>
        <v>0.23605150214592274</v>
      </c>
      <c r="BG45" s="13">
        <f t="shared" si="30"/>
        <v>0.79310344827586199</v>
      </c>
      <c r="BH45" s="13">
        <f t="shared" si="30"/>
        <v>0</v>
      </c>
      <c r="BI45" s="13">
        <f t="shared" si="31"/>
        <v>0.16379310344827583</v>
      </c>
      <c r="BJ45" s="13">
        <f t="shared" si="31"/>
        <v>0.47639484978540764</v>
      </c>
      <c r="BK45" s="13">
        <f t="shared" si="31"/>
        <v>0.89655172413793105</v>
      </c>
      <c r="BL45" s="56">
        <f t="shared" si="31"/>
        <v>0.1818181818181818</v>
      </c>
      <c r="BM45" s="48"/>
      <c r="BN45" s="48"/>
    </row>
    <row r="46" spans="1:85" ht="15.75" thickBot="1" x14ac:dyDescent="0.3">
      <c r="A46" s="42" t="s">
        <v>118</v>
      </c>
      <c r="B46" s="4" t="s">
        <v>13</v>
      </c>
      <c r="C46" s="5">
        <v>11</v>
      </c>
      <c r="D46" s="5">
        <v>67</v>
      </c>
      <c r="E46" s="5">
        <v>0</v>
      </c>
      <c r="F46" s="26">
        <v>1</v>
      </c>
      <c r="H46" s="42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26">
        <v>5</v>
      </c>
      <c r="AL46" s="42" t="s">
        <v>13</v>
      </c>
      <c r="AM46" s="46">
        <f t="shared" si="26"/>
        <v>0.96463022508038587</v>
      </c>
      <c r="AN46" s="47">
        <f t="shared" si="27"/>
        <v>0.37853107344632769</v>
      </c>
      <c r="AO46" s="47">
        <f t="shared" si="28"/>
        <v>0</v>
      </c>
      <c r="AP46" s="87">
        <f t="shared" si="29"/>
        <v>0.88888888888888884</v>
      </c>
      <c r="AR46" s="42" t="s">
        <v>13</v>
      </c>
      <c r="AS46">
        <v>4</v>
      </c>
      <c r="AT46" s="48">
        <v>0.93890675241157562</v>
      </c>
      <c r="AU46" s="48">
        <v>0.63276836158192096</v>
      </c>
      <c r="AV46" s="48">
        <v>0.88461538461538458</v>
      </c>
      <c r="AW46" s="48">
        <v>0.1111111111111111</v>
      </c>
      <c r="AX46">
        <v>5</v>
      </c>
      <c r="AY46" s="48">
        <v>0.93569131832797425</v>
      </c>
      <c r="AZ46" s="48">
        <v>0.33898305084745761</v>
      </c>
      <c r="BA46" s="48">
        <v>0.92307692307692313</v>
      </c>
      <c r="BB46" s="49">
        <v>0.55555555555555558</v>
      </c>
      <c r="BC46" s="48"/>
      <c r="BD46" s="42" t="s">
        <v>8</v>
      </c>
      <c r="BE46" s="13">
        <f t="shared" si="30"/>
        <v>2.9498525073746323E-2</v>
      </c>
      <c r="BF46" s="13">
        <f t="shared" si="30"/>
        <v>0.55825242718446599</v>
      </c>
      <c r="BG46" s="13">
        <f t="shared" si="30"/>
        <v>0.85714285714285721</v>
      </c>
      <c r="BH46" s="13">
        <f t="shared" si="30"/>
        <v>0</v>
      </c>
      <c r="BI46" s="13">
        <f t="shared" si="31"/>
        <v>0.11209439528023599</v>
      </c>
      <c r="BJ46" s="13">
        <f t="shared" si="31"/>
        <v>0.69902912621359214</v>
      </c>
      <c r="BK46" s="13">
        <f t="shared" si="31"/>
        <v>0.9285714285714286</v>
      </c>
      <c r="BL46" s="56">
        <f t="shared" si="31"/>
        <v>0.25</v>
      </c>
      <c r="BM46" s="48"/>
      <c r="BN46" s="48"/>
    </row>
    <row r="47" spans="1:85" ht="15.75" thickBot="1" x14ac:dyDescent="0.3">
      <c r="A47" s="42" t="s">
        <v>118</v>
      </c>
      <c r="B47" s="4" t="s">
        <v>14</v>
      </c>
      <c r="C47" s="5">
        <v>33</v>
      </c>
      <c r="D47" s="5">
        <v>74</v>
      </c>
      <c r="E47" s="5">
        <v>1</v>
      </c>
      <c r="F47" s="26">
        <v>1</v>
      </c>
      <c r="H47" s="42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26">
        <v>6</v>
      </c>
      <c r="AL47" s="42" t="s">
        <v>14</v>
      </c>
      <c r="AM47" s="46">
        <f t="shared" si="26"/>
        <v>0.89389067524115751</v>
      </c>
      <c r="AN47" s="47">
        <f t="shared" si="27"/>
        <v>0.41807909604519772</v>
      </c>
      <c r="AO47" s="47">
        <f t="shared" si="28"/>
        <v>3.8461538461538464E-2</v>
      </c>
      <c r="AP47" s="87">
        <f t="shared" si="29"/>
        <v>0.88888888888888884</v>
      </c>
      <c r="AR47" s="42" t="s">
        <v>14</v>
      </c>
      <c r="AS47">
        <v>4</v>
      </c>
      <c r="AT47" s="48">
        <v>0.80064308681672025</v>
      </c>
      <c r="AU47" s="48">
        <v>0.38983050847457629</v>
      </c>
      <c r="AV47" s="48">
        <v>0.96153846153846156</v>
      </c>
      <c r="AW47" s="48">
        <v>0.22222222222222221</v>
      </c>
      <c r="AX47">
        <v>5</v>
      </c>
      <c r="AY47" s="48">
        <v>0.83279742765273312</v>
      </c>
      <c r="AZ47" s="48">
        <v>0.50847457627118642</v>
      </c>
      <c r="BA47" s="48">
        <v>0.96153846153846156</v>
      </c>
      <c r="BB47" s="49">
        <v>0.66666666666666663</v>
      </c>
      <c r="BC47" s="48"/>
      <c r="BD47" s="42" t="s">
        <v>9</v>
      </c>
      <c r="BE47" s="13">
        <f t="shared" si="30"/>
        <v>4.9140049140049158E-2</v>
      </c>
      <c r="BF47" s="13">
        <f t="shared" si="30"/>
        <v>0</v>
      </c>
      <c r="BG47" s="13">
        <f t="shared" si="30"/>
        <v>0.79310344827586199</v>
      </c>
      <c r="BH47" s="13">
        <f t="shared" si="30"/>
        <v>0</v>
      </c>
      <c r="BI47" s="13">
        <f t="shared" si="31"/>
        <v>0.28501228501228504</v>
      </c>
      <c r="BJ47" s="13">
        <f t="shared" si="31"/>
        <v>0.46200607902735558</v>
      </c>
      <c r="BK47" s="13">
        <f t="shared" si="31"/>
        <v>0.89655172413793105</v>
      </c>
      <c r="BL47" s="56">
        <f t="shared" si="31"/>
        <v>0.5</v>
      </c>
      <c r="BM47" s="48"/>
      <c r="BN47" s="48"/>
    </row>
    <row r="48" spans="1:85" ht="15.75" thickBot="1" x14ac:dyDescent="0.3">
      <c r="A48" s="42" t="s">
        <v>118</v>
      </c>
      <c r="B48" s="4" t="s">
        <v>15</v>
      </c>
      <c r="C48" s="5">
        <v>10</v>
      </c>
      <c r="D48" s="5">
        <v>48</v>
      </c>
      <c r="E48" s="5">
        <v>3</v>
      </c>
      <c r="F48" s="26">
        <v>1</v>
      </c>
      <c r="H48" s="42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26">
        <v>1</v>
      </c>
      <c r="AL48" s="42" t="s">
        <v>15</v>
      </c>
      <c r="AM48" s="46">
        <f t="shared" si="26"/>
        <v>0.96784565916398713</v>
      </c>
      <c r="AN48" s="47">
        <f t="shared" si="27"/>
        <v>0.2711864406779661</v>
      </c>
      <c r="AO48" s="47">
        <f t="shared" si="28"/>
        <v>0.11538461538461539</v>
      </c>
      <c r="AP48" s="87">
        <f t="shared" si="29"/>
        <v>0.88888888888888884</v>
      </c>
      <c r="AR48" s="42" t="s">
        <v>15</v>
      </c>
      <c r="AS48">
        <v>4</v>
      </c>
      <c r="AT48" s="48">
        <v>0.98713826366559487</v>
      </c>
      <c r="AU48" s="48">
        <v>0.42372881355932202</v>
      </c>
      <c r="AV48" s="48">
        <v>1</v>
      </c>
      <c r="AW48" s="48">
        <v>0</v>
      </c>
      <c r="AX48">
        <v>5</v>
      </c>
      <c r="AY48" s="48">
        <v>0.96784565916398713</v>
      </c>
      <c r="AZ48" s="48">
        <v>0.1751412429378531</v>
      </c>
      <c r="BA48" s="48">
        <v>0.92307692307692313</v>
      </c>
      <c r="BB48" s="49">
        <v>0.1111111111111111</v>
      </c>
      <c r="BC48" s="48"/>
      <c r="BD48" s="42" t="s">
        <v>10</v>
      </c>
      <c r="BE48" s="13">
        <f t="shared" si="30"/>
        <v>9.1346153846153855E-2</v>
      </c>
      <c r="BF48" s="13">
        <f t="shared" si="30"/>
        <v>0.59605911330049266</v>
      </c>
      <c r="BG48" s="13">
        <f t="shared" si="30"/>
        <v>0.5</v>
      </c>
      <c r="BH48" s="13">
        <f t="shared" si="30"/>
        <v>0.15384615384615383</v>
      </c>
      <c r="BI48" s="13">
        <f t="shared" si="31"/>
        <v>0.34375</v>
      </c>
      <c r="BJ48" s="13">
        <f t="shared" si="31"/>
        <v>0.72413793103448276</v>
      </c>
      <c r="BK48" s="13">
        <f t="shared" si="31"/>
        <v>0.73529411764705888</v>
      </c>
      <c r="BL48" s="56">
        <f t="shared" si="31"/>
        <v>0.46153846153846162</v>
      </c>
      <c r="BM48" s="48"/>
      <c r="BN48" s="48"/>
    </row>
    <row r="49" spans="1:66" ht="15.75" thickBot="1" x14ac:dyDescent="0.3">
      <c r="A49" s="42" t="s">
        <v>118</v>
      </c>
      <c r="B49" s="4" t="s">
        <v>16</v>
      </c>
      <c r="C49" s="5">
        <v>133</v>
      </c>
      <c r="D49" s="5">
        <v>57</v>
      </c>
      <c r="E49" s="5">
        <v>14</v>
      </c>
      <c r="F49" s="26">
        <v>3</v>
      </c>
      <c r="H49" s="42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26">
        <v>9</v>
      </c>
      <c r="AL49" s="42" t="s">
        <v>16</v>
      </c>
      <c r="AM49" s="46">
        <f t="shared" si="26"/>
        <v>0.57234726688102899</v>
      </c>
      <c r="AN49" s="47">
        <f t="shared" si="27"/>
        <v>0.32203389830508472</v>
      </c>
      <c r="AO49" s="47">
        <f t="shared" si="28"/>
        <v>0.53846153846153844</v>
      </c>
      <c r="AP49" s="87">
        <f t="shared" si="29"/>
        <v>0.66666666666666663</v>
      </c>
      <c r="AR49" s="42" t="s">
        <v>16</v>
      </c>
      <c r="AS49">
        <v>4</v>
      </c>
      <c r="AT49" s="48">
        <v>0.6913183279742765</v>
      </c>
      <c r="AU49" s="48">
        <v>0.48022598870056499</v>
      </c>
      <c r="AV49" s="48">
        <v>0.96153846153846156</v>
      </c>
      <c r="AW49" s="48">
        <v>0.44444444444444442</v>
      </c>
      <c r="AX49">
        <v>5</v>
      </c>
      <c r="AY49" s="48">
        <v>0.74598070739549838</v>
      </c>
      <c r="AZ49" s="48">
        <v>0.29378531073446329</v>
      </c>
      <c r="BA49" s="48">
        <v>0.42307692307692307</v>
      </c>
      <c r="BB49" s="49">
        <v>1</v>
      </c>
      <c r="BC49" s="48"/>
      <c r="BD49" s="42" t="s">
        <v>11</v>
      </c>
      <c r="BE49" s="13">
        <f t="shared" si="30"/>
        <v>0</v>
      </c>
      <c r="BF49" s="13">
        <f t="shared" si="30"/>
        <v>0.29147982062780264</v>
      </c>
      <c r="BG49" s="13">
        <f t="shared" si="30"/>
        <v>1</v>
      </c>
      <c r="BH49" s="13">
        <f t="shared" si="30"/>
        <v>0</v>
      </c>
      <c r="BI49" s="13">
        <f t="shared" si="31"/>
        <v>9.5541401273885485E-3</v>
      </c>
      <c r="BJ49" s="13">
        <f t="shared" si="31"/>
        <v>0.49775784753363228</v>
      </c>
      <c r="BK49" s="13">
        <f t="shared" si="31"/>
        <v>1</v>
      </c>
      <c r="BL49" s="56">
        <f t="shared" si="31"/>
        <v>0</v>
      </c>
      <c r="BM49" s="48"/>
      <c r="BN49" s="48"/>
    </row>
    <row r="50" spans="1:66" ht="15.75" thickBot="1" x14ac:dyDescent="0.3">
      <c r="A50" s="42" t="s">
        <v>118</v>
      </c>
      <c r="B50" s="4" t="s">
        <v>17</v>
      </c>
      <c r="C50" s="5">
        <v>18</v>
      </c>
      <c r="D50" s="5">
        <v>9</v>
      </c>
      <c r="E50" s="5">
        <v>0</v>
      </c>
      <c r="F50" s="26">
        <v>1</v>
      </c>
      <c r="H50" s="42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26">
        <v>0</v>
      </c>
      <c r="AL50" s="42" t="s">
        <v>17</v>
      </c>
      <c r="AM50" s="46">
        <f t="shared" si="26"/>
        <v>0.94212218649517687</v>
      </c>
      <c r="AN50" s="47">
        <f t="shared" si="27"/>
        <v>5.0847457627118647E-2</v>
      </c>
      <c r="AO50" s="47">
        <f t="shared" si="28"/>
        <v>0</v>
      </c>
      <c r="AP50" s="87">
        <f t="shared" si="29"/>
        <v>0.88888888888888884</v>
      </c>
      <c r="AR50" s="42" t="s">
        <v>17</v>
      </c>
      <c r="AS50">
        <v>4</v>
      </c>
      <c r="AT50" s="48">
        <v>0.91639871382636651</v>
      </c>
      <c r="AU50" s="48">
        <v>0.29943502824858759</v>
      </c>
      <c r="AV50" s="48">
        <v>1</v>
      </c>
      <c r="AW50" s="48">
        <v>0.22222222222222221</v>
      </c>
      <c r="AX50">
        <v>5</v>
      </c>
      <c r="AY50" s="48">
        <v>0.96141479099678462</v>
      </c>
      <c r="AZ50" s="48">
        <v>0.1751412429378531</v>
      </c>
      <c r="BA50" s="48">
        <v>0.96153846153846156</v>
      </c>
      <c r="BB50" s="49">
        <v>0</v>
      </c>
      <c r="BC50" s="48"/>
      <c r="BD50" s="42" t="s">
        <v>12</v>
      </c>
      <c r="BE50" s="13">
        <f t="shared" si="30"/>
        <v>1.4681892332789581E-2</v>
      </c>
      <c r="BF50" s="13">
        <f t="shared" si="30"/>
        <v>0.44978165938864634</v>
      </c>
      <c r="BG50" s="13">
        <f t="shared" si="30"/>
        <v>0.24390243902439024</v>
      </c>
      <c r="BH50" s="13">
        <f t="shared" si="30"/>
        <v>0</v>
      </c>
      <c r="BI50" s="13">
        <f t="shared" si="31"/>
        <v>0.5073409461663948</v>
      </c>
      <c r="BJ50" s="13">
        <f t="shared" si="31"/>
        <v>0.67685589519650657</v>
      </c>
      <c r="BK50" s="13">
        <f t="shared" si="31"/>
        <v>0.6097560975609756</v>
      </c>
      <c r="BL50" s="56">
        <f t="shared" si="31"/>
        <v>0.43750000000000006</v>
      </c>
      <c r="BM50" s="48"/>
      <c r="BN50" s="48"/>
    </row>
    <row r="51" spans="1:66" ht="15.75" thickBot="1" x14ac:dyDescent="0.3">
      <c r="A51" s="62" t="s">
        <v>118</v>
      </c>
      <c r="B51" s="66" t="s">
        <v>21</v>
      </c>
      <c r="C51" s="27">
        <v>1</v>
      </c>
      <c r="D51" s="27">
        <v>0</v>
      </c>
      <c r="E51" s="27">
        <v>0</v>
      </c>
      <c r="F51" s="28">
        <v>0</v>
      </c>
      <c r="H51" s="62" t="s">
        <v>21</v>
      </c>
      <c r="I51" s="66" t="s">
        <v>119</v>
      </c>
      <c r="J51" s="27">
        <v>0</v>
      </c>
      <c r="K51" s="27">
        <v>53</v>
      </c>
      <c r="L51" s="27">
        <v>7</v>
      </c>
      <c r="M51" s="27">
        <v>0</v>
      </c>
      <c r="N51" s="66" t="s">
        <v>120</v>
      </c>
      <c r="O51" s="27">
        <v>4</v>
      </c>
      <c r="P51" s="27">
        <v>96</v>
      </c>
      <c r="Q51" s="27">
        <v>8</v>
      </c>
      <c r="R51" s="28">
        <v>1</v>
      </c>
      <c r="AL51" s="80" t="s">
        <v>21</v>
      </c>
      <c r="AM51" s="91">
        <f t="shared" si="26"/>
        <v>0.99678456591639875</v>
      </c>
      <c r="AN51" s="92">
        <f t="shared" si="27"/>
        <v>0</v>
      </c>
      <c r="AO51" s="92">
        <f t="shared" si="28"/>
        <v>0</v>
      </c>
      <c r="AP51" s="93">
        <f t="shared" si="29"/>
        <v>1</v>
      </c>
      <c r="AR51" s="62" t="s">
        <v>21</v>
      </c>
      <c r="AS51" s="21">
        <v>4</v>
      </c>
      <c r="AT51" s="67">
        <v>1</v>
      </c>
      <c r="AU51" s="67">
        <v>0.29943502824858759</v>
      </c>
      <c r="AV51" s="67">
        <v>0.73076923076923073</v>
      </c>
      <c r="AW51" s="67">
        <v>0</v>
      </c>
      <c r="AX51" s="21">
        <v>5</v>
      </c>
      <c r="AY51" s="67">
        <v>0.98713826366559487</v>
      </c>
      <c r="AZ51" s="67">
        <v>0.5423728813559322</v>
      </c>
      <c r="BA51" s="67">
        <v>0.69230769230769229</v>
      </c>
      <c r="BB51" s="68">
        <v>0.1111111111111111</v>
      </c>
      <c r="BC51" s="48"/>
      <c r="BD51" s="42" t="s">
        <v>13</v>
      </c>
      <c r="BE51" s="13">
        <f t="shared" si="30"/>
        <v>2.1604938271604934E-2</v>
      </c>
      <c r="BF51" s="13">
        <f t="shared" si="30"/>
        <v>0.25523012552301261</v>
      </c>
      <c r="BG51" s="13">
        <f t="shared" si="30"/>
        <v>0.79310344827586199</v>
      </c>
      <c r="BH51" s="13">
        <f t="shared" si="30"/>
        <v>0</v>
      </c>
      <c r="BI51" s="13">
        <f t="shared" si="31"/>
        <v>6.1728395061728419E-2</v>
      </c>
      <c r="BJ51" s="13">
        <f t="shared" si="31"/>
        <v>0.5146443514644351</v>
      </c>
      <c r="BK51" s="13">
        <f t="shared" si="31"/>
        <v>0.89655172413793105</v>
      </c>
      <c r="BL51" s="56">
        <f t="shared" si="31"/>
        <v>0.35714285714285715</v>
      </c>
      <c r="BM51" s="48"/>
      <c r="BN51" s="48"/>
    </row>
    <row r="52" spans="1:66" ht="15.75" thickBot="1" x14ac:dyDescent="0.3">
      <c r="A52" s="42" t="s">
        <v>122</v>
      </c>
      <c r="B52" s="4" t="s">
        <v>1</v>
      </c>
      <c r="C52" s="5">
        <v>10</v>
      </c>
      <c r="D52" s="5">
        <v>88</v>
      </c>
      <c r="E52" s="5">
        <v>1</v>
      </c>
      <c r="F52" s="26">
        <v>2</v>
      </c>
      <c r="H52" s="4"/>
      <c r="AL52" s="39" t="s">
        <v>1</v>
      </c>
      <c r="AM52" s="84">
        <f t="shared" si="26"/>
        <v>0.96784565916398713</v>
      </c>
      <c r="AN52" s="85">
        <f t="shared" si="27"/>
        <v>0.49717514124293788</v>
      </c>
      <c r="AO52" s="85">
        <f t="shared" si="28"/>
        <v>3.8461538461538464E-2</v>
      </c>
      <c r="AP52" s="86">
        <f t="shared" si="29"/>
        <v>0.77777777777777779</v>
      </c>
      <c r="AR52" s="4"/>
      <c r="BD52" s="42" t="s">
        <v>14</v>
      </c>
      <c r="BE52" s="13">
        <f t="shared" si="30"/>
        <v>5.9659090909090898E-2</v>
      </c>
      <c r="BF52" s="13">
        <f t="shared" si="30"/>
        <v>0.40092165898617516</v>
      </c>
      <c r="BG52" s="13">
        <f t="shared" si="30"/>
        <v>0.92592592592592582</v>
      </c>
      <c r="BH52" s="13">
        <f t="shared" si="30"/>
        <v>0</v>
      </c>
      <c r="BI52" s="13">
        <f t="shared" si="31"/>
        <v>0.17613636363636365</v>
      </c>
      <c r="BJ52" s="13">
        <f t="shared" si="31"/>
        <v>0.58525345622119818</v>
      </c>
      <c r="BK52" s="13">
        <f t="shared" si="31"/>
        <v>0.96296296296296291</v>
      </c>
      <c r="BL52" s="56">
        <f t="shared" si="31"/>
        <v>0.4</v>
      </c>
    </row>
    <row r="53" spans="1:66" ht="15.75" thickBot="1" x14ac:dyDescent="0.3">
      <c r="A53" s="42" t="s">
        <v>122</v>
      </c>
      <c r="B53" s="4" t="s">
        <v>2</v>
      </c>
      <c r="C53" s="5">
        <v>1</v>
      </c>
      <c r="D53" s="5">
        <v>29</v>
      </c>
      <c r="E53" s="5">
        <v>9</v>
      </c>
      <c r="F53" s="26">
        <v>0</v>
      </c>
      <c r="H53" s="4"/>
      <c r="AL53" s="42" t="s">
        <v>2</v>
      </c>
      <c r="AM53" s="46">
        <f t="shared" si="26"/>
        <v>0.99678456591639875</v>
      </c>
      <c r="AN53" s="47">
        <f t="shared" si="27"/>
        <v>0.16384180790960451</v>
      </c>
      <c r="AO53" s="47">
        <f t="shared" si="28"/>
        <v>0.34615384615384615</v>
      </c>
      <c r="AP53" s="87">
        <f t="shared" si="29"/>
        <v>1</v>
      </c>
      <c r="AR53" s="4"/>
      <c r="BD53" s="42" t="s">
        <v>15</v>
      </c>
      <c r="BE53" s="13">
        <f t="shared" si="30"/>
        <v>9.4339622641509569E-3</v>
      </c>
      <c r="BF53" s="13">
        <f t="shared" si="30"/>
        <v>0.4358974358974359</v>
      </c>
      <c r="BG53" s="13">
        <f t="shared" si="30"/>
        <v>0.79310344827586199</v>
      </c>
      <c r="BH53" s="13">
        <f t="shared" si="30"/>
        <v>0</v>
      </c>
      <c r="BI53" s="13">
        <f t="shared" si="31"/>
        <v>3.1446540880503158E-2</v>
      </c>
      <c r="BJ53" s="13">
        <f t="shared" si="31"/>
        <v>0.67948717948717952</v>
      </c>
      <c r="BK53" s="13">
        <f t="shared" si="31"/>
        <v>0.89655172413793105</v>
      </c>
      <c r="BL53" s="56">
        <f t="shared" si="31"/>
        <v>0.1818181818181818</v>
      </c>
    </row>
    <row r="54" spans="1:66" ht="15.75" thickBot="1" x14ac:dyDescent="0.3">
      <c r="A54" s="42" t="s">
        <v>122</v>
      </c>
      <c r="B54" s="4" t="s">
        <v>4</v>
      </c>
      <c r="C54" s="5">
        <v>20</v>
      </c>
      <c r="D54" s="5">
        <v>12</v>
      </c>
      <c r="E54" s="5">
        <v>0</v>
      </c>
      <c r="F54" s="26">
        <v>1</v>
      </c>
      <c r="H54" s="4"/>
      <c r="AL54" s="42" t="s">
        <v>4</v>
      </c>
      <c r="AM54" s="46">
        <f t="shared" si="26"/>
        <v>0.93569131832797425</v>
      </c>
      <c r="AN54" s="47">
        <f t="shared" si="27"/>
        <v>6.7796610169491525E-2</v>
      </c>
      <c r="AO54" s="47">
        <f t="shared" si="28"/>
        <v>0</v>
      </c>
      <c r="AP54" s="87">
        <f t="shared" si="29"/>
        <v>0.88888888888888884</v>
      </c>
      <c r="AR54" s="4"/>
      <c r="BD54" s="42" t="s">
        <v>16</v>
      </c>
      <c r="BE54" s="13">
        <f t="shared" si="30"/>
        <v>9.3596059113300503E-2</v>
      </c>
      <c r="BF54" s="13">
        <f t="shared" si="30"/>
        <v>0.40350877192982459</v>
      </c>
      <c r="BG54" s="13">
        <f t="shared" si="30"/>
        <v>0.27500000000000008</v>
      </c>
      <c r="BH54" s="13">
        <f t="shared" si="30"/>
        <v>0.125</v>
      </c>
      <c r="BI54" s="13">
        <f t="shared" si="31"/>
        <v>0.32758620689655171</v>
      </c>
      <c r="BJ54" s="13">
        <f t="shared" si="31"/>
        <v>0.62719298245614041</v>
      </c>
      <c r="BK54" s="13">
        <f t="shared" si="31"/>
        <v>0.62500000000000011</v>
      </c>
      <c r="BL54" s="56">
        <f t="shared" si="31"/>
        <v>0.5625</v>
      </c>
    </row>
    <row r="55" spans="1:66" ht="15.75" thickBot="1" x14ac:dyDescent="0.3">
      <c r="A55" s="42" t="s">
        <v>122</v>
      </c>
      <c r="B55" s="4" t="s">
        <v>5</v>
      </c>
      <c r="C55" s="5">
        <v>34</v>
      </c>
      <c r="D55" s="5">
        <v>54</v>
      </c>
      <c r="E55" s="5">
        <v>1</v>
      </c>
      <c r="F55" s="26">
        <v>1</v>
      </c>
      <c r="H55" s="4"/>
      <c r="AL55" s="42" t="s">
        <v>5</v>
      </c>
      <c r="AM55" s="46">
        <f t="shared" si="26"/>
        <v>0.89067524115755625</v>
      </c>
      <c r="AN55" s="47">
        <f t="shared" si="27"/>
        <v>0.30508474576271188</v>
      </c>
      <c r="AO55" s="47">
        <f t="shared" si="28"/>
        <v>3.8461538461538464E-2</v>
      </c>
      <c r="AP55" s="87">
        <f t="shared" si="29"/>
        <v>0.88888888888888884</v>
      </c>
      <c r="AR55" s="4"/>
      <c r="BD55" s="42" t="s">
        <v>17</v>
      </c>
      <c r="BE55" s="13">
        <f t="shared" si="30"/>
        <v>1.2012012012011993E-2</v>
      </c>
      <c r="BF55" s="13">
        <f t="shared" si="30"/>
        <v>0.56108597285067874</v>
      </c>
      <c r="BG55" s="13">
        <f t="shared" si="30"/>
        <v>0.92592592592592582</v>
      </c>
      <c r="BH55" s="13">
        <f t="shared" si="30"/>
        <v>0</v>
      </c>
      <c r="BI55" s="13">
        <f t="shared" si="31"/>
        <v>7.8078078078078109E-2</v>
      </c>
      <c r="BJ55" s="13">
        <f t="shared" si="31"/>
        <v>0.7601809954751132</v>
      </c>
      <c r="BK55" s="13">
        <f t="shared" si="31"/>
        <v>0.96296296296296291</v>
      </c>
      <c r="BL55" s="56">
        <f t="shared" si="31"/>
        <v>0.1818181818181818</v>
      </c>
    </row>
    <row r="56" spans="1:66" ht="15.75" thickBot="1" x14ac:dyDescent="0.3">
      <c r="A56" s="42" t="s">
        <v>122</v>
      </c>
      <c r="B56" s="4" t="s">
        <v>6</v>
      </c>
      <c r="C56" s="5">
        <v>34</v>
      </c>
      <c r="D56" s="5">
        <v>122</v>
      </c>
      <c r="E56" s="5">
        <v>1</v>
      </c>
      <c r="F56" s="26">
        <v>1</v>
      </c>
      <c r="H56" s="4"/>
      <c r="AL56" s="42" t="s">
        <v>6</v>
      </c>
      <c r="AM56" s="46">
        <f t="shared" si="26"/>
        <v>0.89067524115755625</v>
      </c>
      <c r="AN56" s="47">
        <f t="shared" si="27"/>
        <v>0.68926553672316382</v>
      </c>
      <c r="AO56" s="47">
        <f t="shared" si="28"/>
        <v>3.8461538461538464E-2</v>
      </c>
      <c r="AP56" s="87">
        <f t="shared" si="29"/>
        <v>0.88888888888888884</v>
      </c>
      <c r="AR56" s="4"/>
      <c r="BD56" s="62" t="s">
        <v>21</v>
      </c>
      <c r="BE56" s="63">
        <f t="shared" si="30"/>
        <v>0</v>
      </c>
      <c r="BF56" s="63">
        <f t="shared" si="30"/>
        <v>0.2967032967032967</v>
      </c>
      <c r="BG56" s="63">
        <f t="shared" si="30"/>
        <v>0.52941176470588236</v>
      </c>
      <c r="BH56" s="63">
        <f t="shared" si="30"/>
        <v>0</v>
      </c>
      <c r="BI56" s="63">
        <f t="shared" si="31"/>
        <v>1.2698412698412683E-2</v>
      </c>
      <c r="BJ56" s="63">
        <f t="shared" si="31"/>
        <v>0.64835164835164838</v>
      </c>
      <c r="BK56" s="63">
        <f t="shared" si="31"/>
        <v>0.76470588235294112</v>
      </c>
      <c r="BL56" s="64">
        <f t="shared" si="31"/>
        <v>0.10000000000000003</v>
      </c>
    </row>
    <row r="57" spans="1:66" ht="15.75" thickBot="1" x14ac:dyDescent="0.3">
      <c r="A57" s="42" t="s">
        <v>122</v>
      </c>
      <c r="B57" s="4" t="s">
        <v>8</v>
      </c>
      <c r="C57" s="5">
        <v>23</v>
      </c>
      <c r="D57" s="5">
        <v>61</v>
      </c>
      <c r="E57" s="5">
        <v>1</v>
      </c>
      <c r="F57" s="26">
        <v>1</v>
      </c>
      <c r="H57" s="4"/>
      <c r="AL57" s="42" t="s">
        <v>8</v>
      </c>
      <c r="AM57" s="46">
        <f t="shared" si="26"/>
        <v>0.92604501607717038</v>
      </c>
      <c r="AN57" s="47">
        <f t="shared" si="27"/>
        <v>0.34463276836158191</v>
      </c>
      <c r="AO57" s="47">
        <f t="shared" si="28"/>
        <v>3.8461538461538464E-2</v>
      </c>
      <c r="AP57" s="87">
        <f t="shared" si="29"/>
        <v>0.88888888888888884</v>
      </c>
      <c r="AR57" s="4"/>
    </row>
    <row r="58" spans="1:66" ht="15.75" thickBot="1" x14ac:dyDescent="0.3">
      <c r="A58" s="42" t="s">
        <v>122</v>
      </c>
      <c r="B58" s="4" t="s">
        <v>9</v>
      </c>
      <c r="C58" s="5">
        <v>29</v>
      </c>
      <c r="D58" s="5">
        <v>40</v>
      </c>
      <c r="E58" s="5">
        <v>0</v>
      </c>
      <c r="F58" s="26">
        <v>0</v>
      </c>
      <c r="H58" s="4"/>
      <c r="AL58" s="42" t="s">
        <v>9</v>
      </c>
      <c r="AM58" s="46">
        <f t="shared" si="26"/>
        <v>0.90675241157556274</v>
      </c>
      <c r="AN58" s="47">
        <f t="shared" si="27"/>
        <v>0.22598870056497175</v>
      </c>
      <c r="AO58" s="47">
        <f t="shared" si="28"/>
        <v>0</v>
      </c>
      <c r="AP58" s="87">
        <f t="shared" si="29"/>
        <v>1</v>
      </c>
      <c r="AR58" s="4"/>
    </row>
    <row r="59" spans="1:66" ht="15.75" thickBot="1" x14ac:dyDescent="0.3">
      <c r="A59" s="42" t="s">
        <v>122</v>
      </c>
      <c r="B59" s="4" t="s">
        <v>10</v>
      </c>
      <c r="C59" s="5">
        <v>93</v>
      </c>
      <c r="D59" s="5">
        <v>50</v>
      </c>
      <c r="E59" s="5">
        <v>2</v>
      </c>
      <c r="F59" s="26">
        <v>2</v>
      </c>
      <c r="H59" s="4"/>
      <c r="AL59" s="42" t="s">
        <v>10</v>
      </c>
      <c r="AM59" s="46">
        <f t="shared" si="26"/>
        <v>0.70096463022508038</v>
      </c>
      <c r="AN59" s="47">
        <f t="shared" si="27"/>
        <v>0.2824858757062147</v>
      </c>
      <c r="AO59" s="47">
        <f t="shared" si="28"/>
        <v>7.6923076923076927E-2</v>
      </c>
      <c r="AP59" s="87">
        <f t="shared" si="29"/>
        <v>0.77777777777777779</v>
      </c>
      <c r="AR59" s="4"/>
    </row>
    <row r="60" spans="1:66" ht="15.75" thickBot="1" x14ac:dyDescent="0.3">
      <c r="A60" s="42" t="s">
        <v>122</v>
      </c>
      <c r="B60" s="4" t="s">
        <v>11</v>
      </c>
      <c r="C60" s="5">
        <v>1</v>
      </c>
      <c r="D60" s="5">
        <v>84</v>
      </c>
      <c r="E60" s="5">
        <v>0</v>
      </c>
      <c r="F60" s="26">
        <v>0</v>
      </c>
      <c r="H60" s="4"/>
      <c r="AL60" s="42" t="s">
        <v>11</v>
      </c>
      <c r="AM60" s="46">
        <f t="shared" si="26"/>
        <v>0.99678456591639875</v>
      </c>
      <c r="AN60" s="47">
        <f t="shared" si="27"/>
        <v>0.47457627118644069</v>
      </c>
      <c r="AO60" s="47">
        <f t="shared" si="28"/>
        <v>0</v>
      </c>
      <c r="AP60" s="87">
        <f t="shared" si="29"/>
        <v>1</v>
      </c>
      <c r="AR60" s="4"/>
    </row>
    <row r="61" spans="1:66" ht="15.75" thickBot="1" x14ac:dyDescent="0.3">
      <c r="A61" s="42" t="s">
        <v>122</v>
      </c>
      <c r="B61" s="4" t="s">
        <v>12</v>
      </c>
      <c r="C61" s="5">
        <v>15</v>
      </c>
      <c r="D61" s="5">
        <v>22</v>
      </c>
      <c r="E61" s="5">
        <v>7</v>
      </c>
      <c r="F61" s="26">
        <v>0</v>
      </c>
      <c r="H61" s="4"/>
      <c r="AL61" s="42" t="s">
        <v>12</v>
      </c>
      <c r="AM61" s="46">
        <f t="shared" si="26"/>
        <v>0.95176848874598075</v>
      </c>
      <c r="AN61" s="47">
        <f t="shared" si="27"/>
        <v>0.12429378531073447</v>
      </c>
      <c r="AO61" s="47">
        <f t="shared" si="28"/>
        <v>0.26923076923076922</v>
      </c>
      <c r="AP61" s="87">
        <f t="shared" si="29"/>
        <v>1</v>
      </c>
      <c r="AR61" s="4"/>
    </row>
    <row r="62" spans="1:66" ht="15.75" thickBot="1" x14ac:dyDescent="0.3">
      <c r="A62" s="42" t="s">
        <v>122</v>
      </c>
      <c r="B62" s="4" t="s">
        <v>13</v>
      </c>
      <c r="C62" s="5">
        <v>12</v>
      </c>
      <c r="D62" s="5">
        <v>116</v>
      </c>
      <c r="E62" s="5">
        <v>2</v>
      </c>
      <c r="F62" s="26">
        <v>0</v>
      </c>
      <c r="H62" s="4"/>
      <c r="AL62" s="42" t="s">
        <v>13</v>
      </c>
      <c r="AM62" s="46">
        <f t="shared" si="26"/>
        <v>0.96141479099678462</v>
      </c>
      <c r="AN62" s="47">
        <f t="shared" si="27"/>
        <v>0.65536723163841804</v>
      </c>
      <c r="AO62" s="47">
        <f t="shared" si="28"/>
        <v>7.6923076923076927E-2</v>
      </c>
      <c r="AP62" s="87">
        <f t="shared" si="29"/>
        <v>1</v>
      </c>
      <c r="AR62" s="4"/>
    </row>
    <row r="63" spans="1:66" ht="15.75" thickBot="1" x14ac:dyDescent="0.3">
      <c r="A63" s="42" t="s">
        <v>122</v>
      </c>
      <c r="B63" s="4" t="s">
        <v>14</v>
      </c>
      <c r="C63" s="5">
        <v>22</v>
      </c>
      <c r="D63" s="5">
        <v>64</v>
      </c>
      <c r="E63" s="5">
        <v>0</v>
      </c>
      <c r="F63" s="26">
        <v>0</v>
      </c>
      <c r="H63" s="4"/>
      <c r="AL63" s="42" t="s">
        <v>14</v>
      </c>
      <c r="AM63" s="46">
        <f t="shared" si="26"/>
        <v>0.92926045016077174</v>
      </c>
      <c r="AN63" s="47">
        <f t="shared" si="27"/>
        <v>0.3615819209039548</v>
      </c>
      <c r="AO63" s="47">
        <f t="shared" si="28"/>
        <v>0</v>
      </c>
      <c r="AP63" s="87">
        <f t="shared" si="29"/>
        <v>1</v>
      </c>
      <c r="AR63" s="4"/>
    </row>
    <row r="64" spans="1:66" ht="15.75" thickBot="1" x14ac:dyDescent="0.3">
      <c r="A64" s="42" t="s">
        <v>122</v>
      </c>
      <c r="B64" s="4" t="s">
        <v>15</v>
      </c>
      <c r="C64" s="5">
        <v>4</v>
      </c>
      <c r="D64" s="5">
        <v>27</v>
      </c>
      <c r="E64" s="5">
        <v>1</v>
      </c>
      <c r="F64" s="26">
        <v>2</v>
      </c>
      <c r="H64" s="4"/>
      <c r="AL64" s="42" t="s">
        <v>15</v>
      </c>
      <c r="AM64" s="46">
        <f t="shared" si="26"/>
        <v>0.98713826366559487</v>
      </c>
      <c r="AN64" s="47">
        <f t="shared" si="27"/>
        <v>0.15254237288135594</v>
      </c>
      <c r="AO64" s="47">
        <f t="shared" si="28"/>
        <v>3.8461538461538464E-2</v>
      </c>
      <c r="AP64" s="87">
        <f t="shared" si="29"/>
        <v>0.77777777777777779</v>
      </c>
      <c r="AR64" s="4"/>
    </row>
    <row r="65" spans="1:44" ht="15.75" thickBot="1" x14ac:dyDescent="0.3">
      <c r="A65" s="42" t="s">
        <v>122</v>
      </c>
      <c r="B65" s="4" t="s">
        <v>16</v>
      </c>
      <c r="C65" s="5">
        <v>52</v>
      </c>
      <c r="D65" s="5">
        <v>34</v>
      </c>
      <c r="E65" s="5">
        <v>4</v>
      </c>
      <c r="F65" s="26">
        <v>4</v>
      </c>
      <c r="H65" s="4"/>
      <c r="AL65" s="42" t="s">
        <v>16</v>
      </c>
      <c r="AM65" s="46">
        <f t="shared" si="26"/>
        <v>0.83279742765273312</v>
      </c>
      <c r="AN65" s="47">
        <f t="shared" si="27"/>
        <v>0.19209039548022599</v>
      </c>
      <c r="AO65" s="47">
        <f t="shared" si="28"/>
        <v>0.15384615384615385</v>
      </c>
      <c r="AP65" s="87">
        <f t="shared" si="29"/>
        <v>0.55555555555555558</v>
      </c>
      <c r="AR65" s="4"/>
    </row>
    <row r="66" spans="1:44" ht="15.75" thickBot="1" x14ac:dyDescent="0.3">
      <c r="A66" s="42" t="s">
        <v>122</v>
      </c>
      <c r="B66" s="4" t="s">
        <v>17</v>
      </c>
      <c r="C66" s="5">
        <v>9</v>
      </c>
      <c r="D66" s="5">
        <v>11</v>
      </c>
      <c r="E66" s="5">
        <v>0</v>
      </c>
      <c r="F66" s="26">
        <v>0</v>
      </c>
      <c r="H66" s="4"/>
      <c r="AL66" s="42" t="s">
        <v>17</v>
      </c>
      <c r="AM66" s="46">
        <f t="shared" si="26"/>
        <v>0.97106109324758838</v>
      </c>
      <c r="AN66" s="47">
        <f t="shared" si="27"/>
        <v>6.2146892655367235E-2</v>
      </c>
      <c r="AO66" s="47">
        <f t="shared" si="28"/>
        <v>0</v>
      </c>
      <c r="AP66" s="87">
        <f t="shared" si="29"/>
        <v>1</v>
      </c>
      <c r="AR66" s="4"/>
    </row>
    <row r="67" spans="1:44" ht="15.75" thickBot="1" x14ac:dyDescent="0.3">
      <c r="A67" s="42" t="s">
        <v>122</v>
      </c>
      <c r="B67" s="4" t="s">
        <v>21</v>
      </c>
      <c r="C67" s="5">
        <v>0</v>
      </c>
      <c r="D67" s="5">
        <v>1</v>
      </c>
      <c r="E67" s="5">
        <v>0</v>
      </c>
      <c r="F67" s="26">
        <v>0</v>
      </c>
      <c r="H67" s="4"/>
      <c r="AL67" s="42" t="s">
        <v>21</v>
      </c>
      <c r="AM67" s="46">
        <f t="shared" si="26"/>
        <v>1</v>
      </c>
      <c r="AN67" s="47">
        <f t="shared" si="27"/>
        <v>5.6497175141242938E-3</v>
      </c>
      <c r="AO67" s="47">
        <f t="shared" si="28"/>
        <v>0</v>
      </c>
      <c r="AP67" s="87">
        <f t="shared" si="29"/>
        <v>1</v>
      </c>
      <c r="AR67" s="4"/>
    </row>
    <row r="68" spans="1:44" ht="15.75" thickBot="1" x14ac:dyDescent="0.3">
      <c r="A68" s="80" t="s">
        <v>123</v>
      </c>
      <c r="B68" s="81" t="s">
        <v>1</v>
      </c>
      <c r="C68" s="82">
        <v>18</v>
      </c>
      <c r="D68" s="82">
        <v>107</v>
      </c>
      <c r="E68" s="82">
        <v>2</v>
      </c>
      <c r="F68" s="83">
        <v>3</v>
      </c>
      <c r="H68" s="4"/>
      <c r="AL68" s="62" t="s">
        <v>1</v>
      </c>
      <c r="AM68" s="88">
        <f t="shared" ref="AM68:AM99" si="32">(AG$4-C68)/(AG$4-AG$5)</f>
        <v>0.94212218649517687</v>
      </c>
      <c r="AN68" s="89">
        <f t="shared" ref="AN68:AN99" si="33">(D68-AH$5)/(AH$4-AH$5)</f>
        <v>0.60451977401129942</v>
      </c>
      <c r="AO68" s="89">
        <f t="shared" ref="AO68:AO99" si="34">(E68-AI$5)/(AI$4-AI$5)</f>
        <v>7.6923076923076927E-2</v>
      </c>
      <c r="AP68" s="90">
        <f t="shared" ref="AP68:AP99" si="35">(AJ$4-F68)/(AJ$4-AJ$5)</f>
        <v>0.66666666666666663</v>
      </c>
      <c r="AR68" s="4"/>
    </row>
    <row r="69" spans="1:44" ht="15.75" thickBot="1" x14ac:dyDescent="0.3">
      <c r="A69" s="39" t="s">
        <v>123</v>
      </c>
      <c r="B69" s="77" t="s">
        <v>2</v>
      </c>
      <c r="C69" s="78">
        <v>1</v>
      </c>
      <c r="D69" s="78">
        <v>144</v>
      </c>
      <c r="E69" s="78">
        <v>3</v>
      </c>
      <c r="F69" s="79">
        <v>1</v>
      </c>
      <c r="H69" s="4"/>
      <c r="AL69" s="42" t="s">
        <v>2</v>
      </c>
      <c r="AM69" s="94">
        <f t="shared" si="32"/>
        <v>0.99678456591639875</v>
      </c>
      <c r="AN69" s="95">
        <f t="shared" si="33"/>
        <v>0.81355932203389836</v>
      </c>
      <c r="AO69" s="95">
        <f t="shared" si="34"/>
        <v>0.11538461538461539</v>
      </c>
      <c r="AP69" s="96">
        <f t="shared" si="35"/>
        <v>0.88888888888888884</v>
      </c>
      <c r="AR69" s="4"/>
    </row>
    <row r="70" spans="1:44" ht="15.75" thickBot="1" x14ac:dyDescent="0.3">
      <c r="A70" s="42" t="s">
        <v>123</v>
      </c>
      <c r="B70" s="4" t="s">
        <v>4</v>
      </c>
      <c r="C70" s="5">
        <v>78</v>
      </c>
      <c r="D70" s="5">
        <v>23</v>
      </c>
      <c r="E70" s="5">
        <v>2</v>
      </c>
      <c r="F70" s="26">
        <v>1</v>
      </c>
      <c r="H70" s="4"/>
      <c r="AL70" s="42" t="s">
        <v>4</v>
      </c>
      <c r="AM70" s="46">
        <f t="shared" si="32"/>
        <v>0.74919614147909963</v>
      </c>
      <c r="AN70" s="47">
        <f t="shared" si="33"/>
        <v>0.12994350282485875</v>
      </c>
      <c r="AO70" s="47">
        <f t="shared" si="34"/>
        <v>7.6923076923076927E-2</v>
      </c>
      <c r="AP70" s="87">
        <f t="shared" si="35"/>
        <v>0.88888888888888884</v>
      </c>
      <c r="AR70" s="4"/>
    </row>
    <row r="71" spans="1:44" ht="15.75" thickBot="1" x14ac:dyDescent="0.3">
      <c r="A71" s="42" t="s">
        <v>123</v>
      </c>
      <c r="B71" s="4" t="s">
        <v>5</v>
      </c>
      <c r="C71" s="5">
        <v>33</v>
      </c>
      <c r="D71" s="5">
        <v>87</v>
      </c>
      <c r="E71" s="5">
        <v>0</v>
      </c>
      <c r="F71" s="26">
        <v>0</v>
      </c>
      <c r="H71" s="4"/>
      <c r="AL71" s="42" t="s">
        <v>5</v>
      </c>
      <c r="AM71" s="46">
        <f t="shared" si="32"/>
        <v>0.89389067524115751</v>
      </c>
      <c r="AN71" s="47">
        <f t="shared" si="33"/>
        <v>0.49152542372881358</v>
      </c>
      <c r="AO71" s="47">
        <f t="shared" si="34"/>
        <v>0</v>
      </c>
      <c r="AP71" s="87">
        <f t="shared" si="35"/>
        <v>1</v>
      </c>
      <c r="AR71" s="4"/>
    </row>
    <row r="72" spans="1:44" ht="15.75" thickBot="1" x14ac:dyDescent="0.3">
      <c r="A72" s="42" t="s">
        <v>123</v>
      </c>
      <c r="B72" s="4" t="s">
        <v>6</v>
      </c>
      <c r="C72" s="5">
        <v>30</v>
      </c>
      <c r="D72" s="5">
        <v>79</v>
      </c>
      <c r="E72" s="5">
        <v>3</v>
      </c>
      <c r="F72" s="26">
        <v>1</v>
      </c>
      <c r="H72" s="4"/>
      <c r="AL72" s="42" t="s">
        <v>6</v>
      </c>
      <c r="AM72" s="46">
        <f t="shared" si="32"/>
        <v>0.90353697749196138</v>
      </c>
      <c r="AN72" s="47">
        <f t="shared" si="33"/>
        <v>0.4463276836158192</v>
      </c>
      <c r="AO72" s="47">
        <f t="shared" si="34"/>
        <v>0.11538461538461539</v>
      </c>
      <c r="AP72" s="87">
        <f t="shared" si="35"/>
        <v>0.88888888888888884</v>
      </c>
      <c r="AR72" s="4"/>
    </row>
    <row r="73" spans="1:44" ht="15.75" thickBot="1" x14ac:dyDescent="0.3">
      <c r="A73" s="42" t="s">
        <v>123</v>
      </c>
      <c r="B73" s="4" t="s">
        <v>8</v>
      </c>
      <c r="C73" s="5">
        <v>38</v>
      </c>
      <c r="D73" s="5">
        <v>50</v>
      </c>
      <c r="E73" s="5">
        <v>1</v>
      </c>
      <c r="F73" s="26">
        <v>3</v>
      </c>
      <c r="H73" s="4"/>
      <c r="AL73" s="42" t="s">
        <v>8</v>
      </c>
      <c r="AM73" s="46">
        <f t="shared" si="32"/>
        <v>0.87781350482315113</v>
      </c>
      <c r="AN73" s="47">
        <f t="shared" si="33"/>
        <v>0.2824858757062147</v>
      </c>
      <c r="AO73" s="47">
        <f t="shared" si="34"/>
        <v>3.8461538461538464E-2</v>
      </c>
      <c r="AP73" s="87">
        <f t="shared" si="35"/>
        <v>0.66666666666666663</v>
      </c>
      <c r="AR73" s="4"/>
    </row>
    <row r="74" spans="1:44" ht="15.75" thickBot="1" x14ac:dyDescent="0.3">
      <c r="A74" s="42" t="s">
        <v>123</v>
      </c>
      <c r="B74" s="4" t="s">
        <v>9</v>
      </c>
      <c r="C74" s="5">
        <v>110</v>
      </c>
      <c r="D74" s="5">
        <v>177</v>
      </c>
      <c r="E74" s="5">
        <v>1</v>
      </c>
      <c r="F74" s="26">
        <v>5</v>
      </c>
      <c r="H74" s="4"/>
      <c r="AL74" s="42" t="s">
        <v>9</v>
      </c>
      <c r="AM74" s="46">
        <f t="shared" si="32"/>
        <v>0.6463022508038585</v>
      </c>
      <c r="AN74" s="47">
        <f t="shared" si="33"/>
        <v>1</v>
      </c>
      <c r="AO74" s="47">
        <f t="shared" si="34"/>
        <v>3.8461538461538464E-2</v>
      </c>
      <c r="AP74" s="87">
        <f t="shared" si="35"/>
        <v>0.44444444444444442</v>
      </c>
      <c r="AR74" s="4"/>
    </row>
    <row r="75" spans="1:44" ht="15.75" thickBot="1" x14ac:dyDescent="0.3">
      <c r="A75" s="42" t="s">
        <v>123</v>
      </c>
      <c r="B75" s="4" t="s">
        <v>10</v>
      </c>
      <c r="C75" s="5">
        <v>143</v>
      </c>
      <c r="D75" s="5">
        <v>56</v>
      </c>
      <c r="E75" s="5">
        <v>9</v>
      </c>
      <c r="F75" s="26">
        <v>6</v>
      </c>
      <c r="H75" s="4"/>
      <c r="AL75" s="42" t="s">
        <v>10</v>
      </c>
      <c r="AM75" s="46">
        <f t="shared" si="32"/>
        <v>0.54019292604501612</v>
      </c>
      <c r="AN75" s="47">
        <f t="shared" si="33"/>
        <v>0.31638418079096048</v>
      </c>
      <c r="AO75" s="47">
        <f t="shared" si="34"/>
        <v>0.34615384615384615</v>
      </c>
      <c r="AP75" s="87">
        <f t="shared" si="35"/>
        <v>0.33333333333333331</v>
      </c>
      <c r="AR75" s="4"/>
    </row>
    <row r="76" spans="1:44" ht="15.75" thickBot="1" x14ac:dyDescent="0.3">
      <c r="A76" s="42" t="s">
        <v>123</v>
      </c>
      <c r="B76" s="4" t="s">
        <v>11</v>
      </c>
      <c r="C76" s="5">
        <v>1</v>
      </c>
      <c r="D76" s="5">
        <v>112</v>
      </c>
      <c r="E76" s="5">
        <v>0</v>
      </c>
      <c r="F76" s="26">
        <v>0</v>
      </c>
      <c r="H76" s="4"/>
      <c r="AL76" s="42" t="s">
        <v>11</v>
      </c>
      <c r="AM76" s="46">
        <f t="shared" si="32"/>
        <v>0.99678456591639875</v>
      </c>
      <c r="AN76" s="47">
        <f t="shared" si="33"/>
        <v>0.63276836158192096</v>
      </c>
      <c r="AO76" s="47">
        <f t="shared" si="34"/>
        <v>0</v>
      </c>
      <c r="AP76" s="87">
        <f t="shared" si="35"/>
        <v>1</v>
      </c>
      <c r="AR76" s="4"/>
    </row>
    <row r="77" spans="1:44" ht="15.75" thickBot="1" x14ac:dyDescent="0.3">
      <c r="A77" s="42" t="s">
        <v>123</v>
      </c>
      <c r="B77" s="4" t="s">
        <v>12</v>
      </c>
      <c r="C77" s="5">
        <v>19</v>
      </c>
      <c r="D77" s="5">
        <v>74</v>
      </c>
      <c r="E77" s="5">
        <v>6</v>
      </c>
      <c r="F77" s="26">
        <v>2</v>
      </c>
      <c r="H77" s="4"/>
      <c r="AL77" s="42" t="s">
        <v>12</v>
      </c>
      <c r="AM77" s="46">
        <f t="shared" si="32"/>
        <v>0.93890675241157562</v>
      </c>
      <c r="AN77" s="47">
        <f t="shared" si="33"/>
        <v>0.41807909604519772</v>
      </c>
      <c r="AO77" s="47">
        <f t="shared" si="34"/>
        <v>0.23076923076923078</v>
      </c>
      <c r="AP77" s="87">
        <f t="shared" si="35"/>
        <v>0.77777777777777779</v>
      </c>
      <c r="AR77" s="4"/>
    </row>
    <row r="78" spans="1:44" ht="15.75" thickBot="1" x14ac:dyDescent="0.3">
      <c r="A78" s="42" t="s">
        <v>123</v>
      </c>
      <c r="B78" s="4" t="s">
        <v>13</v>
      </c>
      <c r="C78" s="5">
        <v>19</v>
      </c>
      <c r="D78" s="5">
        <v>112</v>
      </c>
      <c r="E78" s="5">
        <v>3</v>
      </c>
      <c r="F78" s="26">
        <v>1</v>
      </c>
      <c r="H78" s="4"/>
      <c r="AL78" s="42" t="s">
        <v>13</v>
      </c>
      <c r="AM78" s="46">
        <f t="shared" si="32"/>
        <v>0.93890675241157562</v>
      </c>
      <c r="AN78" s="47">
        <f t="shared" si="33"/>
        <v>0.63276836158192096</v>
      </c>
      <c r="AO78" s="47">
        <f t="shared" si="34"/>
        <v>0.11538461538461539</v>
      </c>
      <c r="AP78" s="87">
        <f t="shared" si="35"/>
        <v>0.88888888888888884</v>
      </c>
      <c r="AR78" s="4"/>
    </row>
    <row r="79" spans="1:44" ht="15.75" thickBot="1" x14ac:dyDescent="0.3">
      <c r="A79" s="42" t="s">
        <v>123</v>
      </c>
      <c r="B79" s="4" t="s">
        <v>14</v>
      </c>
      <c r="C79" s="5">
        <v>62</v>
      </c>
      <c r="D79" s="5">
        <v>69</v>
      </c>
      <c r="E79" s="5">
        <v>1</v>
      </c>
      <c r="F79" s="26">
        <v>2</v>
      </c>
      <c r="H79" s="4"/>
      <c r="AL79" s="42" t="s">
        <v>14</v>
      </c>
      <c r="AM79" s="46">
        <f t="shared" si="32"/>
        <v>0.80064308681672025</v>
      </c>
      <c r="AN79" s="47">
        <f t="shared" si="33"/>
        <v>0.38983050847457629</v>
      </c>
      <c r="AO79" s="47">
        <f t="shared" si="34"/>
        <v>3.8461538461538464E-2</v>
      </c>
      <c r="AP79" s="87">
        <f t="shared" si="35"/>
        <v>0.77777777777777779</v>
      </c>
      <c r="AR79" s="4"/>
    </row>
    <row r="80" spans="1:44" ht="15.75" thickBot="1" x14ac:dyDescent="0.3">
      <c r="A80" s="42" t="s">
        <v>123</v>
      </c>
      <c r="B80" s="4" t="s">
        <v>15</v>
      </c>
      <c r="C80" s="5">
        <v>4</v>
      </c>
      <c r="D80" s="5">
        <v>75</v>
      </c>
      <c r="E80" s="5">
        <v>0</v>
      </c>
      <c r="F80" s="26">
        <v>0</v>
      </c>
      <c r="H80" s="4"/>
      <c r="AL80" s="42" t="s">
        <v>15</v>
      </c>
      <c r="AM80" s="46">
        <f t="shared" si="32"/>
        <v>0.98713826366559487</v>
      </c>
      <c r="AN80" s="47">
        <f t="shared" si="33"/>
        <v>0.42372881355932202</v>
      </c>
      <c r="AO80" s="47">
        <f t="shared" si="34"/>
        <v>0</v>
      </c>
      <c r="AP80" s="87">
        <f t="shared" si="35"/>
        <v>1</v>
      </c>
      <c r="AR80" s="4"/>
    </row>
    <row r="81" spans="1:44" ht="15.75" thickBot="1" x14ac:dyDescent="0.3">
      <c r="A81" s="42" t="s">
        <v>123</v>
      </c>
      <c r="B81" s="4" t="s">
        <v>16</v>
      </c>
      <c r="C81" s="5">
        <v>96</v>
      </c>
      <c r="D81" s="5">
        <v>85</v>
      </c>
      <c r="E81" s="5">
        <v>1</v>
      </c>
      <c r="F81" s="26">
        <v>4</v>
      </c>
      <c r="H81" s="4"/>
      <c r="AL81" s="42" t="s">
        <v>16</v>
      </c>
      <c r="AM81" s="46">
        <f t="shared" si="32"/>
        <v>0.6913183279742765</v>
      </c>
      <c r="AN81" s="47">
        <f t="shared" si="33"/>
        <v>0.48022598870056499</v>
      </c>
      <c r="AO81" s="47">
        <f t="shared" si="34"/>
        <v>3.8461538461538464E-2</v>
      </c>
      <c r="AP81" s="87">
        <f t="shared" si="35"/>
        <v>0.55555555555555558</v>
      </c>
      <c r="AR81" s="4"/>
    </row>
    <row r="82" spans="1:44" ht="15.75" thickBot="1" x14ac:dyDescent="0.3">
      <c r="A82" s="42" t="s">
        <v>123</v>
      </c>
      <c r="B82" s="4" t="s">
        <v>17</v>
      </c>
      <c r="C82" s="5">
        <v>26</v>
      </c>
      <c r="D82" s="5">
        <v>53</v>
      </c>
      <c r="E82" s="5">
        <v>0</v>
      </c>
      <c r="F82" s="26">
        <v>2</v>
      </c>
      <c r="H82" s="4"/>
      <c r="AL82" s="42" t="s">
        <v>17</v>
      </c>
      <c r="AM82" s="46">
        <f t="shared" si="32"/>
        <v>0.91639871382636651</v>
      </c>
      <c r="AN82" s="47">
        <f t="shared" si="33"/>
        <v>0.29943502824858759</v>
      </c>
      <c r="AO82" s="47">
        <f t="shared" si="34"/>
        <v>0</v>
      </c>
      <c r="AP82" s="87">
        <f t="shared" si="35"/>
        <v>0.77777777777777779</v>
      </c>
      <c r="AR82" s="4"/>
    </row>
    <row r="83" spans="1:44" ht="15.75" thickBot="1" x14ac:dyDescent="0.3">
      <c r="A83" s="62" t="s">
        <v>123</v>
      </c>
      <c r="B83" s="66" t="s">
        <v>21</v>
      </c>
      <c r="C83" s="27">
        <v>0</v>
      </c>
      <c r="D83" s="27">
        <v>53</v>
      </c>
      <c r="E83" s="27">
        <v>7</v>
      </c>
      <c r="F83" s="28">
        <v>0</v>
      </c>
      <c r="H83" s="4"/>
      <c r="AL83" s="80" t="s">
        <v>21</v>
      </c>
      <c r="AM83" s="91">
        <f t="shared" si="32"/>
        <v>1</v>
      </c>
      <c r="AN83" s="92">
        <f t="shared" si="33"/>
        <v>0.29943502824858759</v>
      </c>
      <c r="AO83" s="92">
        <f t="shared" si="34"/>
        <v>0.26923076923076922</v>
      </c>
      <c r="AP83" s="93">
        <f t="shared" si="35"/>
        <v>1</v>
      </c>
      <c r="AR83" s="4"/>
    </row>
    <row r="84" spans="1:44" ht="15.75" thickBot="1" x14ac:dyDescent="0.3">
      <c r="A84" s="42" t="s">
        <v>71</v>
      </c>
      <c r="B84" s="4" t="s">
        <v>1</v>
      </c>
      <c r="C84" s="5">
        <v>5</v>
      </c>
      <c r="D84" s="5">
        <v>70</v>
      </c>
      <c r="E84" s="5">
        <v>2</v>
      </c>
      <c r="F84" s="26">
        <v>1</v>
      </c>
      <c r="H84" s="4"/>
      <c r="AL84" s="39" t="s">
        <v>1</v>
      </c>
      <c r="AM84" s="84">
        <f t="shared" si="32"/>
        <v>0.98392282958199362</v>
      </c>
      <c r="AN84" s="85">
        <f t="shared" si="33"/>
        <v>0.39548022598870058</v>
      </c>
      <c r="AO84" s="85">
        <f t="shared" si="34"/>
        <v>7.6923076923076927E-2</v>
      </c>
      <c r="AP84" s="86">
        <f t="shared" si="35"/>
        <v>0.88888888888888884</v>
      </c>
      <c r="AR84" s="4"/>
    </row>
    <row r="85" spans="1:44" ht="15.75" thickBot="1" x14ac:dyDescent="0.3">
      <c r="A85" s="42" t="s">
        <v>71</v>
      </c>
      <c r="B85" s="4" t="s">
        <v>2</v>
      </c>
      <c r="C85" s="5">
        <v>2</v>
      </c>
      <c r="D85" s="5">
        <v>63</v>
      </c>
      <c r="E85" s="5">
        <v>26</v>
      </c>
      <c r="F85" s="26">
        <v>0</v>
      </c>
      <c r="H85" s="4"/>
      <c r="AL85" s="42" t="s">
        <v>2</v>
      </c>
      <c r="AM85" s="46">
        <f t="shared" si="32"/>
        <v>0.99356913183279738</v>
      </c>
      <c r="AN85" s="47">
        <f t="shared" si="33"/>
        <v>0.3559322033898305</v>
      </c>
      <c r="AO85" s="47">
        <f t="shared" si="34"/>
        <v>1</v>
      </c>
      <c r="AP85" s="87">
        <f t="shared" si="35"/>
        <v>1</v>
      </c>
      <c r="AR85" s="4"/>
    </row>
    <row r="86" spans="1:44" ht="15.75" thickBot="1" x14ac:dyDescent="0.3">
      <c r="A86" s="42" t="s">
        <v>71</v>
      </c>
      <c r="B86" s="4" t="s">
        <v>4</v>
      </c>
      <c r="C86" s="5">
        <v>28</v>
      </c>
      <c r="D86" s="5">
        <v>14</v>
      </c>
      <c r="E86" s="5">
        <v>1</v>
      </c>
      <c r="F86" s="26">
        <v>2</v>
      </c>
      <c r="H86" s="4"/>
      <c r="AL86" s="42" t="s">
        <v>4</v>
      </c>
      <c r="AM86" s="46">
        <f t="shared" si="32"/>
        <v>0.909967845659164</v>
      </c>
      <c r="AN86" s="47">
        <f t="shared" si="33"/>
        <v>7.909604519774012E-2</v>
      </c>
      <c r="AO86" s="47">
        <f t="shared" si="34"/>
        <v>3.8461538461538464E-2</v>
      </c>
      <c r="AP86" s="87">
        <f t="shared" si="35"/>
        <v>0.77777777777777779</v>
      </c>
      <c r="AR86" s="4"/>
    </row>
    <row r="87" spans="1:44" ht="15.75" thickBot="1" x14ac:dyDescent="0.3">
      <c r="A87" s="42" t="s">
        <v>71</v>
      </c>
      <c r="B87" s="4" t="s">
        <v>5</v>
      </c>
      <c r="C87" s="5">
        <v>28</v>
      </c>
      <c r="D87" s="5">
        <v>56</v>
      </c>
      <c r="E87" s="5">
        <v>0</v>
      </c>
      <c r="F87" s="26">
        <v>0</v>
      </c>
      <c r="H87" s="4"/>
      <c r="AL87" s="42" t="s">
        <v>5</v>
      </c>
      <c r="AM87" s="46">
        <f t="shared" si="32"/>
        <v>0.909967845659164</v>
      </c>
      <c r="AN87" s="47">
        <f t="shared" si="33"/>
        <v>0.31638418079096048</v>
      </c>
      <c r="AO87" s="47">
        <f t="shared" si="34"/>
        <v>0</v>
      </c>
      <c r="AP87" s="87">
        <f t="shared" si="35"/>
        <v>1</v>
      </c>
      <c r="AR87" s="4"/>
    </row>
    <row r="88" spans="1:44" ht="15.75" thickBot="1" x14ac:dyDescent="0.3">
      <c r="A88" s="42" t="s">
        <v>71</v>
      </c>
      <c r="B88" s="4" t="s">
        <v>6</v>
      </c>
      <c r="C88" s="5">
        <v>51</v>
      </c>
      <c r="D88" s="5">
        <v>66</v>
      </c>
      <c r="E88" s="5">
        <v>3</v>
      </c>
      <c r="F88" s="26">
        <v>0</v>
      </c>
      <c r="H88" s="4"/>
      <c r="AL88" s="42" t="s">
        <v>6</v>
      </c>
      <c r="AM88" s="46">
        <f t="shared" si="32"/>
        <v>0.83601286173633438</v>
      </c>
      <c r="AN88" s="47">
        <f t="shared" si="33"/>
        <v>0.3728813559322034</v>
      </c>
      <c r="AO88" s="47">
        <f t="shared" si="34"/>
        <v>0.11538461538461539</v>
      </c>
      <c r="AP88" s="87">
        <f t="shared" si="35"/>
        <v>1</v>
      </c>
      <c r="AR88" s="4"/>
    </row>
    <row r="89" spans="1:44" ht="15.75" thickBot="1" x14ac:dyDescent="0.3">
      <c r="A89" s="42" t="s">
        <v>71</v>
      </c>
      <c r="B89" s="4" t="s">
        <v>8</v>
      </c>
      <c r="C89" s="5">
        <v>20</v>
      </c>
      <c r="D89" s="5">
        <v>33</v>
      </c>
      <c r="E89" s="5">
        <v>1</v>
      </c>
      <c r="F89" s="26">
        <v>1</v>
      </c>
      <c r="H89" s="4"/>
      <c r="AL89" s="42" t="s">
        <v>8</v>
      </c>
      <c r="AM89" s="46">
        <f t="shared" si="32"/>
        <v>0.93569131832797425</v>
      </c>
      <c r="AN89" s="47">
        <f t="shared" si="33"/>
        <v>0.1864406779661017</v>
      </c>
      <c r="AO89" s="47">
        <f t="shared" si="34"/>
        <v>3.8461538461538464E-2</v>
      </c>
      <c r="AP89" s="87">
        <f t="shared" si="35"/>
        <v>0.88888888888888884</v>
      </c>
      <c r="AR89" s="4"/>
    </row>
    <row r="90" spans="1:44" ht="15.75" thickBot="1" x14ac:dyDescent="0.3">
      <c r="A90" s="42" t="s">
        <v>71</v>
      </c>
      <c r="B90" s="4" t="s">
        <v>9</v>
      </c>
      <c r="C90" s="5">
        <v>116</v>
      </c>
      <c r="D90" s="5">
        <v>40</v>
      </c>
      <c r="E90" s="5">
        <v>1</v>
      </c>
      <c r="F90" s="26">
        <v>9</v>
      </c>
      <c r="H90" s="4"/>
      <c r="AL90" s="42" t="s">
        <v>9</v>
      </c>
      <c r="AM90" s="46">
        <f t="shared" si="32"/>
        <v>0.62700964630225076</v>
      </c>
      <c r="AN90" s="47">
        <f t="shared" si="33"/>
        <v>0.22598870056497175</v>
      </c>
      <c r="AO90" s="47">
        <f t="shared" si="34"/>
        <v>3.8461538461538464E-2</v>
      </c>
      <c r="AP90" s="87">
        <f t="shared" si="35"/>
        <v>0</v>
      </c>
      <c r="AR90" s="4"/>
    </row>
    <row r="91" spans="1:44" ht="15.75" thickBot="1" x14ac:dyDescent="0.3">
      <c r="A91" s="42" t="s">
        <v>71</v>
      </c>
      <c r="B91" s="4" t="s">
        <v>10</v>
      </c>
      <c r="C91" s="5">
        <v>108</v>
      </c>
      <c r="D91" s="5">
        <v>54</v>
      </c>
      <c r="E91" s="5">
        <v>4</v>
      </c>
      <c r="F91" s="26">
        <v>6</v>
      </c>
      <c r="H91" s="4"/>
      <c r="AL91" s="42" t="s">
        <v>10</v>
      </c>
      <c r="AM91" s="46">
        <f t="shared" si="32"/>
        <v>0.65273311897106112</v>
      </c>
      <c r="AN91" s="47">
        <f t="shared" si="33"/>
        <v>0.30508474576271188</v>
      </c>
      <c r="AO91" s="47">
        <f t="shared" si="34"/>
        <v>0.15384615384615385</v>
      </c>
      <c r="AP91" s="87">
        <f t="shared" si="35"/>
        <v>0.33333333333333331</v>
      </c>
      <c r="AR91" s="4"/>
    </row>
    <row r="92" spans="1:44" ht="15.75" thickBot="1" x14ac:dyDescent="0.3">
      <c r="A92" s="42" t="s">
        <v>71</v>
      </c>
      <c r="B92" s="4" t="s">
        <v>11</v>
      </c>
      <c r="C92" s="5">
        <v>3</v>
      </c>
      <c r="D92" s="5">
        <v>72</v>
      </c>
      <c r="E92" s="5">
        <v>0</v>
      </c>
      <c r="F92" s="26">
        <v>0</v>
      </c>
      <c r="H92" s="4"/>
      <c r="AL92" s="42" t="s">
        <v>11</v>
      </c>
      <c r="AM92" s="46">
        <f t="shared" si="32"/>
        <v>0.99035369774919613</v>
      </c>
      <c r="AN92" s="47">
        <f t="shared" si="33"/>
        <v>0.40677966101694918</v>
      </c>
      <c r="AO92" s="47">
        <f t="shared" si="34"/>
        <v>0</v>
      </c>
      <c r="AP92" s="87">
        <f t="shared" si="35"/>
        <v>1</v>
      </c>
      <c r="AR92" s="4"/>
    </row>
    <row r="93" spans="1:44" ht="15.75" thickBot="1" x14ac:dyDescent="0.3">
      <c r="A93" s="42" t="s">
        <v>71</v>
      </c>
      <c r="B93" s="4" t="s">
        <v>12</v>
      </c>
      <c r="C93" s="5">
        <v>9</v>
      </c>
      <c r="D93" s="5">
        <v>38</v>
      </c>
      <c r="E93" s="5">
        <v>1</v>
      </c>
      <c r="F93" s="26">
        <v>1</v>
      </c>
      <c r="H93" s="4"/>
      <c r="AL93" s="42" t="s">
        <v>12</v>
      </c>
      <c r="AM93" s="46">
        <f t="shared" si="32"/>
        <v>0.97106109324758838</v>
      </c>
      <c r="AN93" s="47">
        <f t="shared" si="33"/>
        <v>0.21468926553672316</v>
      </c>
      <c r="AO93" s="47">
        <f t="shared" si="34"/>
        <v>3.8461538461538464E-2</v>
      </c>
      <c r="AP93" s="87">
        <f t="shared" si="35"/>
        <v>0.88888888888888884</v>
      </c>
      <c r="AR93" s="4"/>
    </row>
    <row r="94" spans="1:44" ht="15.75" thickBot="1" x14ac:dyDescent="0.3">
      <c r="A94" s="42" t="s">
        <v>71</v>
      </c>
      <c r="B94" s="4" t="s">
        <v>13</v>
      </c>
      <c r="C94" s="5">
        <v>20</v>
      </c>
      <c r="D94" s="5">
        <v>60</v>
      </c>
      <c r="E94" s="5">
        <v>2</v>
      </c>
      <c r="F94" s="26">
        <v>5</v>
      </c>
      <c r="H94" s="4"/>
      <c r="AL94" s="42" t="s">
        <v>13</v>
      </c>
      <c r="AM94" s="46">
        <f t="shared" si="32"/>
        <v>0.93569131832797425</v>
      </c>
      <c r="AN94" s="47">
        <f t="shared" si="33"/>
        <v>0.33898305084745761</v>
      </c>
      <c r="AO94" s="47">
        <f t="shared" si="34"/>
        <v>7.6923076923076927E-2</v>
      </c>
      <c r="AP94" s="87">
        <f t="shared" si="35"/>
        <v>0.44444444444444442</v>
      </c>
      <c r="AR94" s="4"/>
    </row>
    <row r="95" spans="1:44" ht="15.75" thickBot="1" x14ac:dyDescent="0.3">
      <c r="A95" s="42" t="s">
        <v>71</v>
      </c>
      <c r="B95" s="4" t="s">
        <v>14</v>
      </c>
      <c r="C95" s="5">
        <v>52</v>
      </c>
      <c r="D95" s="5">
        <v>90</v>
      </c>
      <c r="E95" s="5">
        <v>1</v>
      </c>
      <c r="F95" s="26">
        <v>6</v>
      </c>
      <c r="H95" s="4"/>
      <c r="AL95" s="42" t="s">
        <v>14</v>
      </c>
      <c r="AM95" s="46">
        <f t="shared" si="32"/>
        <v>0.83279742765273312</v>
      </c>
      <c r="AN95" s="47">
        <f t="shared" si="33"/>
        <v>0.50847457627118642</v>
      </c>
      <c r="AO95" s="47">
        <f t="shared" si="34"/>
        <v>3.8461538461538464E-2</v>
      </c>
      <c r="AP95" s="87">
        <f t="shared" si="35"/>
        <v>0.33333333333333331</v>
      </c>
      <c r="AR95" s="4"/>
    </row>
    <row r="96" spans="1:44" ht="15.75" thickBot="1" x14ac:dyDescent="0.3">
      <c r="A96" s="42" t="s">
        <v>71</v>
      </c>
      <c r="B96" s="4" t="s">
        <v>15</v>
      </c>
      <c r="C96" s="5">
        <v>10</v>
      </c>
      <c r="D96" s="5">
        <v>31</v>
      </c>
      <c r="E96" s="5">
        <v>2</v>
      </c>
      <c r="F96" s="26">
        <v>1</v>
      </c>
      <c r="H96" s="4"/>
      <c r="AL96" s="42" t="s">
        <v>15</v>
      </c>
      <c r="AM96" s="46">
        <f t="shared" si="32"/>
        <v>0.96784565916398713</v>
      </c>
      <c r="AN96" s="47">
        <f t="shared" si="33"/>
        <v>0.1751412429378531</v>
      </c>
      <c r="AO96" s="47">
        <f t="shared" si="34"/>
        <v>7.6923076923076927E-2</v>
      </c>
      <c r="AP96" s="87">
        <f t="shared" si="35"/>
        <v>0.88888888888888884</v>
      </c>
      <c r="AR96" s="4"/>
    </row>
    <row r="97" spans="1:44" ht="15.75" thickBot="1" x14ac:dyDescent="0.3">
      <c r="A97" s="42" t="s">
        <v>71</v>
      </c>
      <c r="B97" s="4" t="s">
        <v>16</v>
      </c>
      <c r="C97" s="5">
        <v>79</v>
      </c>
      <c r="D97" s="5">
        <v>52</v>
      </c>
      <c r="E97" s="5">
        <v>15</v>
      </c>
      <c r="F97" s="26">
        <v>9</v>
      </c>
      <c r="H97" s="4"/>
      <c r="AL97" s="42" t="s">
        <v>16</v>
      </c>
      <c r="AM97" s="46">
        <f t="shared" si="32"/>
        <v>0.74598070739549838</v>
      </c>
      <c r="AN97" s="47">
        <f t="shared" si="33"/>
        <v>0.29378531073446329</v>
      </c>
      <c r="AO97" s="47">
        <f t="shared" si="34"/>
        <v>0.57692307692307687</v>
      </c>
      <c r="AP97" s="87">
        <f t="shared" si="35"/>
        <v>0</v>
      </c>
      <c r="AR97" s="4"/>
    </row>
    <row r="98" spans="1:44" ht="15.75" thickBot="1" x14ac:dyDescent="0.3">
      <c r="A98" s="42" t="s">
        <v>71</v>
      </c>
      <c r="B98" s="4" t="s">
        <v>17</v>
      </c>
      <c r="C98" s="5">
        <v>12</v>
      </c>
      <c r="D98" s="5">
        <v>31</v>
      </c>
      <c r="E98" s="5">
        <v>1</v>
      </c>
      <c r="F98" s="26">
        <v>0</v>
      </c>
      <c r="H98" s="4"/>
      <c r="AL98" s="42" t="s">
        <v>17</v>
      </c>
      <c r="AM98" s="46">
        <f t="shared" si="32"/>
        <v>0.96141479099678462</v>
      </c>
      <c r="AN98" s="47">
        <f t="shared" si="33"/>
        <v>0.1751412429378531</v>
      </c>
      <c r="AO98" s="47">
        <f t="shared" si="34"/>
        <v>3.8461538461538464E-2</v>
      </c>
      <c r="AP98" s="87">
        <f t="shared" si="35"/>
        <v>1</v>
      </c>
      <c r="AR98" s="4"/>
    </row>
    <row r="99" spans="1:44" ht="15.75" thickBot="1" x14ac:dyDescent="0.3">
      <c r="A99" s="62" t="s">
        <v>71</v>
      </c>
      <c r="B99" s="66" t="s">
        <v>21</v>
      </c>
      <c r="C99" s="27">
        <v>4</v>
      </c>
      <c r="D99" s="27">
        <v>96</v>
      </c>
      <c r="E99" s="27">
        <v>8</v>
      </c>
      <c r="F99" s="28">
        <v>1</v>
      </c>
      <c r="H99" s="4"/>
      <c r="AL99" s="62" t="s">
        <v>21</v>
      </c>
      <c r="AM99" s="88">
        <f t="shared" si="32"/>
        <v>0.98713826366559487</v>
      </c>
      <c r="AN99" s="89">
        <f t="shared" si="33"/>
        <v>0.5423728813559322</v>
      </c>
      <c r="AO99" s="89">
        <f t="shared" si="34"/>
        <v>0.30769230769230771</v>
      </c>
      <c r="AP99" s="90">
        <f t="shared" si="35"/>
        <v>0.88888888888888884</v>
      </c>
      <c r="AR99" s="4"/>
    </row>
  </sheetData>
  <sortState xmlns:xlrd2="http://schemas.microsoft.com/office/spreadsheetml/2017/richdata2" ref="CI4:CW19">
    <sortCondition ref="CI4:CI19"/>
  </sortState>
  <mergeCells count="28"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  <mergeCell ref="BP5:BQ5"/>
    <mergeCell ref="BR5:BS5"/>
    <mergeCell ref="BT5:BU5"/>
    <mergeCell ref="BV5:BW5"/>
    <mergeCell ref="BD21:BD22"/>
    <mergeCell ref="BE21:BH21"/>
    <mergeCell ref="BI21:BL21"/>
    <mergeCell ref="BT23:BU23"/>
    <mergeCell ref="BV23:BW23"/>
    <mergeCell ref="BP25:BQ25"/>
    <mergeCell ref="BR25:BS25"/>
    <mergeCell ref="BT25:BU25"/>
    <mergeCell ref="BV25:BW25"/>
    <mergeCell ref="BD39:BD40"/>
    <mergeCell ref="BE39:BH39"/>
    <mergeCell ref="BI39:BL39"/>
    <mergeCell ref="BP23:BQ23"/>
    <mergeCell ref="BR23:BS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2026-04-03T03:29:03Z</dcterms:modified>
</cp:coreProperties>
</file>