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TOP 35\Desktop\PhD\2. Fuzzy (1-IJMEMS)\2. Code\"/>
    </mc:Choice>
  </mc:AlternateContent>
  <xr:revisionPtr revIDLastSave="0" documentId="13_ncr:1_{890BB7A5-6C54-45B2-BD74-D6091D94D700}" xr6:coauthVersionLast="47" xr6:coauthVersionMax="47" xr10:uidLastSave="{00000000-0000-0000-0000-000000000000}"/>
  <bookViews>
    <workbookView xWindow="-120" yWindow="-120" windowWidth="20730" windowHeight="11160" xr2:uid="{57971DE3-9D18-4B35-A82F-75B938ED0AF1}"/>
  </bookViews>
  <sheets>
    <sheet name="Spearman &amp; Kendall" sheetId="1" r:id="rId1"/>
    <sheet name="Kendal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" i="2" l="1"/>
  <c r="M19" i="2"/>
  <c r="I19" i="2"/>
  <c r="H19" i="2"/>
  <c r="D19" i="2"/>
  <c r="C19" i="2"/>
  <c r="B24" i="1"/>
  <c r="D20" i="1"/>
  <c r="E20" i="1"/>
  <c r="C20" i="1"/>
  <c r="D23" i="1" l="1"/>
  <c r="D21" i="1" s="1"/>
  <c r="E23" i="1"/>
  <c r="E21" i="1" s="1"/>
  <c r="C23" i="1"/>
  <c r="C21" i="1" s="1"/>
</calcChain>
</file>

<file path=xl/sharedStrings.xml><?xml version="1.0" encoding="utf-8"?>
<sst xmlns="http://schemas.openxmlformats.org/spreadsheetml/2006/main" count="32" uniqueCount="26">
  <si>
    <t>bugzilla.mozilla.org</t>
  </si>
  <si>
    <t>CA Program</t>
  </si>
  <si>
    <t>Calendar</t>
  </si>
  <si>
    <t>Conduit</t>
  </si>
  <si>
    <t>Data Platform and Tools</t>
  </si>
  <si>
    <t>Developer Infrastructure</t>
  </si>
  <si>
    <t>GeckoView</t>
  </si>
  <si>
    <t>MailNews Core</t>
  </si>
  <si>
    <t>mozilla.org</t>
  </si>
  <si>
    <t>NSS</t>
  </si>
  <si>
    <t>Release Engineering</t>
  </si>
  <si>
    <t>Remote Protocol</t>
  </si>
  <si>
    <t>support.mozilla.org</t>
  </si>
  <si>
    <t>WebExtensions</t>
  </si>
  <si>
    <t>Webtools</t>
  </si>
  <si>
    <t>Mozilla QA</t>
  </si>
  <si>
    <t>Product</t>
  </si>
  <si>
    <t>Original</t>
  </si>
  <si>
    <t>Spearman</t>
  </si>
  <si>
    <t>Kendall's Tau</t>
  </si>
  <si>
    <t xml:space="preserve">Total Pairs </t>
  </si>
  <si>
    <t>Discordant pairs</t>
  </si>
  <si>
    <t>Concordant pairs</t>
  </si>
  <si>
    <t>Perturbance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</si>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</sst>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9" fontId="0" fillId="0" borderId="0" xfId="0" applyNumberFormat="1"/>
    <xf numFmtId="0" fontId="0" fillId="2" borderId="4" xfId="0" applyFill="1" applyBorder="1"/>
    <xf numFmtId="0" fontId="0" fillId="2" borderId="5" xfId="0" applyFill="1" applyBorder="1"/>
    <xf numFmtId="0" fontId="0" fillId="2" borderId="0" xfId="0" applyFill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5F6EF-AB7A-40C7-B4D3-8270BC3FF44A}">
  <dimension ref="A1:E24"/>
  <sheetViews>
    <sheetView tabSelected="1" workbookViewId="0">
      <selection activeCell="J6" sqref="J6"/>
    </sheetView>
  </sheetViews>
  <sheetFormatPr defaultRowHeight="15" x14ac:dyDescent="0.25"/>
  <cols>
    <col min="2" max="2" width="15.85546875" bestFit="1" customWidth="1"/>
  </cols>
  <sheetData>
    <row r="1" spans="1:5" ht="15.75" thickBot="1" x14ac:dyDescent="0.3">
      <c r="C1" s="10" t="s">
        <v>23</v>
      </c>
      <c r="D1" s="11"/>
      <c r="E1" s="12"/>
    </row>
    <row r="2" spans="1:5" ht="15.75" thickBot="1" x14ac:dyDescent="0.3">
      <c r="A2" t="s">
        <v>16</v>
      </c>
      <c r="B2" t="s">
        <v>17</v>
      </c>
      <c r="C2" s="6">
        <v>0.05</v>
      </c>
      <c r="D2" s="6">
        <v>0.1</v>
      </c>
      <c r="E2" s="6">
        <v>0.15</v>
      </c>
    </row>
    <row r="3" spans="1:5" ht="15.75" thickBot="1" x14ac:dyDescent="0.3">
      <c r="A3" s="1" t="s">
        <v>0</v>
      </c>
      <c r="B3" s="2">
        <v>8</v>
      </c>
      <c r="C3" s="3">
        <v>8</v>
      </c>
      <c r="D3" s="3">
        <v>8</v>
      </c>
      <c r="E3" s="3">
        <v>8</v>
      </c>
    </row>
    <row r="4" spans="1:5" ht="15.75" thickBot="1" x14ac:dyDescent="0.3">
      <c r="A4" s="1" t="s">
        <v>1</v>
      </c>
      <c r="B4" s="2">
        <v>1</v>
      </c>
      <c r="C4" s="4">
        <v>1</v>
      </c>
      <c r="D4" s="4">
        <v>1</v>
      </c>
      <c r="E4" s="4">
        <v>1</v>
      </c>
    </row>
    <row r="5" spans="1:5" ht="15.75" thickBot="1" x14ac:dyDescent="0.3">
      <c r="A5" s="1" t="s">
        <v>2</v>
      </c>
      <c r="B5" s="2">
        <v>14</v>
      </c>
      <c r="C5" s="4">
        <v>14</v>
      </c>
      <c r="D5" s="4">
        <v>14</v>
      </c>
      <c r="E5" s="4">
        <v>14</v>
      </c>
    </row>
    <row r="6" spans="1:5" ht="15.75" thickBot="1" x14ac:dyDescent="0.3">
      <c r="A6" s="1" t="s">
        <v>3</v>
      </c>
      <c r="B6" s="2">
        <v>7</v>
      </c>
      <c r="C6" s="4">
        <v>7</v>
      </c>
      <c r="D6" s="4">
        <v>7</v>
      </c>
      <c r="E6" s="4">
        <v>7</v>
      </c>
    </row>
    <row r="7" spans="1:5" ht="15.75" thickBot="1" x14ac:dyDescent="0.3">
      <c r="A7" s="1" t="s">
        <v>4</v>
      </c>
      <c r="B7" s="2">
        <v>3</v>
      </c>
      <c r="C7" s="4">
        <v>3</v>
      </c>
      <c r="D7" s="4">
        <v>3</v>
      </c>
      <c r="E7" s="7">
        <v>4</v>
      </c>
    </row>
    <row r="8" spans="1:5" ht="15.75" thickBot="1" x14ac:dyDescent="0.3">
      <c r="A8" s="1" t="s">
        <v>5</v>
      </c>
      <c r="B8" s="2">
        <v>9</v>
      </c>
      <c r="C8" s="4">
        <v>9</v>
      </c>
      <c r="D8" s="4">
        <v>9</v>
      </c>
      <c r="E8" s="4">
        <v>9</v>
      </c>
    </row>
    <row r="9" spans="1:5" ht="15.75" thickBot="1" x14ac:dyDescent="0.3">
      <c r="A9" s="1" t="s">
        <v>6</v>
      </c>
      <c r="B9" s="2">
        <v>13</v>
      </c>
      <c r="C9" s="7">
        <v>12</v>
      </c>
      <c r="D9" s="7">
        <v>12</v>
      </c>
      <c r="E9" s="7">
        <v>12</v>
      </c>
    </row>
    <row r="10" spans="1:5" ht="15.75" thickBot="1" x14ac:dyDescent="0.3">
      <c r="A10" s="1" t="s">
        <v>7</v>
      </c>
      <c r="B10" s="2">
        <v>15</v>
      </c>
      <c r="C10" s="4">
        <v>15</v>
      </c>
      <c r="D10" s="4">
        <v>15</v>
      </c>
      <c r="E10" s="4">
        <v>15</v>
      </c>
    </row>
    <row r="11" spans="1:5" ht="15.75" thickBot="1" x14ac:dyDescent="0.3">
      <c r="A11" s="1" t="s">
        <v>8</v>
      </c>
      <c r="B11" s="2">
        <v>2</v>
      </c>
      <c r="C11" s="4">
        <v>2</v>
      </c>
      <c r="D11" s="4">
        <v>2</v>
      </c>
      <c r="E11" s="4">
        <v>2</v>
      </c>
    </row>
    <row r="12" spans="1:5" ht="15.75" thickBot="1" x14ac:dyDescent="0.3">
      <c r="A12" s="1" t="s">
        <v>9</v>
      </c>
      <c r="B12" s="2">
        <v>16</v>
      </c>
      <c r="C12" s="4">
        <v>16</v>
      </c>
      <c r="D12" s="4">
        <v>16</v>
      </c>
      <c r="E12" s="4">
        <v>16</v>
      </c>
    </row>
    <row r="13" spans="1:5" ht="15.75" thickBot="1" x14ac:dyDescent="0.3">
      <c r="A13" s="1" t="s">
        <v>10</v>
      </c>
      <c r="B13" s="2">
        <v>5</v>
      </c>
      <c r="C13" s="4">
        <v>5</v>
      </c>
      <c r="D13" s="4">
        <v>5</v>
      </c>
      <c r="E13" s="4">
        <v>5</v>
      </c>
    </row>
    <row r="14" spans="1:5" ht="15.75" thickBot="1" x14ac:dyDescent="0.3">
      <c r="A14" s="1" t="s">
        <v>11</v>
      </c>
      <c r="B14" s="2">
        <v>10</v>
      </c>
      <c r="C14" s="4">
        <v>10</v>
      </c>
      <c r="D14" s="7">
        <v>11</v>
      </c>
      <c r="E14" s="7">
        <v>11</v>
      </c>
    </row>
    <row r="15" spans="1:5" ht="15.75" thickBot="1" x14ac:dyDescent="0.3">
      <c r="A15" s="1" t="s">
        <v>12</v>
      </c>
      <c r="B15" s="2">
        <v>6</v>
      </c>
      <c r="C15" s="4">
        <v>6</v>
      </c>
      <c r="D15" s="4">
        <v>6</v>
      </c>
      <c r="E15" s="4">
        <v>6</v>
      </c>
    </row>
    <row r="16" spans="1:5" ht="15.75" thickBot="1" x14ac:dyDescent="0.3">
      <c r="A16" s="1" t="s">
        <v>13</v>
      </c>
      <c r="B16" s="2">
        <v>12</v>
      </c>
      <c r="C16" s="7">
        <v>13</v>
      </c>
      <c r="D16" s="7">
        <v>13</v>
      </c>
      <c r="E16" s="7">
        <v>13</v>
      </c>
    </row>
    <row r="17" spans="1:5" ht="15.75" thickBot="1" x14ac:dyDescent="0.3">
      <c r="A17" s="1" t="s">
        <v>14</v>
      </c>
      <c r="B17" s="2">
        <v>11</v>
      </c>
      <c r="C17" s="4">
        <v>11</v>
      </c>
      <c r="D17" s="7">
        <v>10</v>
      </c>
      <c r="E17" s="7">
        <v>10</v>
      </c>
    </row>
    <row r="18" spans="1:5" ht="15.75" thickBot="1" x14ac:dyDescent="0.3">
      <c r="A18" s="1" t="s">
        <v>15</v>
      </c>
      <c r="B18" s="2">
        <v>4</v>
      </c>
      <c r="C18" s="5">
        <v>4</v>
      </c>
      <c r="D18" s="5">
        <v>4</v>
      </c>
      <c r="E18" s="8">
        <v>3</v>
      </c>
    </row>
    <row r="20" spans="1:5" x14ac:dyDescent="0.25">
      <c r="B20" t="s">
        <v>18</v>
      </c>
      <c r="C20">
        <f>CORREL($B$3:$B$18,C3:C18)</f>
        <v>0.99705882352941178</v>
      </c>
      <c r="D20">
        <f t="shared" ref="D20:E20" si="0">CORREL($B$3:$B$18,D3:D18)</f>
        <v>0.99411764705882355</v>
      </c>
      <c r="E20">
        <f t="shared" si="0"/>
        <v>0.99117647058823533</v>
      </c>
    </row>
    <row r="21" spans="1:5" x14ac:dyDescent="0.25">
      <c r="B21" t="s">
        <v>19</v>
      </c>
      <c r="C21">
        <f>(C23-C22)/(C23+C22)</f>
        <v>0.98333333333333328</v>
      </c>
      <c r="D21">
        <f>(D23-D22)/(D23+D22)</f>
        <v>0.96666666666666667</v>
      </c>
      <c r="E21">
        <f>(E23-E22)/(E23+E22)</f>
        <v>0.95</v>
      </c>
    </row>
    <row r="22" spans="1:5" x14ac:dyDescent="0.25">
      <c r="B22" t="s">
        <v>21</v>
      </c>
      <c r="C22">
        <v>1</v>
      </c>
      <c r="D22">
        <v>2</v>
      </c>
      <c r="E22" s="9">
        <v>3</v>
      </c>
    </row>
    <row r="23" spans="1:5" x14ac:dyDescent="0.25">
      <c r="B23" t="s">
        <v>22</v>
      </c>
      <c r="C23">
        <f>$B$24-C22</f>
        <v>119</v>
      </c>
      <c r="D23">
        <f t="shared" ref="D23:E23" si="1">$B$24-D22</f>
        <v>118</v>
      </c>
      <c r="E23">
        <f t="shared" si="1"/>
        <v>117</v>
      </c>
    </row>
    <row r="24" spans="1:5" x14ac:dyDescent="0.25">
      <c r="A24" t="s">
        <v>20</v>
      </c>
      <c r="B24">
        <f>(16*15)/2</f>
        <v>120</v>
      </c>
    </row>
  </sheetData>
  <mergeCells count="1">
    <mergeCell ref="C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87D42-A2C2-4A10-97D6-0807398E8849}">
  <dimension ref="A1:N19"/>
  <sheetViews>
    <sheetView workbookViewId="0">
      <selection activeCell="I14" sqref="I14"/>
    </sheetView>
  </sheetViews>
  <sheetFormatPr defaultRowHeight="15" x14ac:dyDescent="0.25"/>
  <cols>
    <col min="6" max="6" width="0" hidden="1" customWidth="1"/>
    <col min="11" max="11" width="0" hidden="1" customWidth="1"/>
  </cols>
  <sheetData>
    <row r="1" spans="1:14" ht="15.75" thickBot="1" x14ac:dyDescent="0.3">
      <c r="A1" t="s">
        <v>17</v>
      </c>
      <c r="B1" s="6">
        <v>0.05</v>
      </c>
      <c r="C1" t="s">
        <v>24</v>
      </c>
      <c r="D1" t="s">
        <v>25</v>
      </c>
      <c r="F1" t="s">
        <v>17</v>
      </c>
      <c r="G1" s="6">
        <v>0.1</v>
      </c>
      <c r="H1" t="s">
        <v>24</v>
      </c>
      <c r="I1" t="s">
        <v>25</v>
      </c>
      <c r="L1" s="6">
        <v>0.15</v>
      </c>
      <c r="M1" t="s">
        <v>24</v>
      </c>
      <c r="N1" t="s">
        <v>25</v>
      </c>
    </row>
    <row r="2" spans="1:14" x14ac:dyDescent="0.25">
      <c r="A2" s="2">
        <v>1</v>
      </c>
      <c r="B2" s="3">
        <v>1</v>
      </c>
      <c r="C2">
        <v>15</v>
      </c>
      <c r="D2">
        <v>0</v>
      </c>
      <c r="F2" s="2">
        <v>1</v>
      </c>
      <c r="G2" s="3">
        <v>1</v>
      </c>
      <c r="H2">
        <v>15</v>
      </c>
      <c r="I2">
        <v>0</v>
      </c>
      <c r="K2" s="2">
        <v>1</v>
      </c>
      <c r="L2" s="3">
        <v>1</v>
      </c>
      <c r="M2">
        <v>15</v>
      </c>
      <c r="N2">
        <v>0</v>
      </c>
    </row>
    <row r="3" spans="1:14" x14ac:dyDescent="0.25">
      <c r="A3" s="2">
        <v>2</v>
      </c>
      <c r="B3" s="4">
        <v>2</v>
      </c>
      <c r="C3">
        <v>14</v>
      </c>
      <c r="D3">
        <v>0</v>
      </c>
      <c r="F3" s="2">
        <v>2</v>
      </c>
      <c r="G3" s="4">
        <v>2</v>
      </c>
      <c r="H3">
        <v>14</v>
      </c>
      <c r="I3">
        <v>0</v>
      </c>
      <c r="K3" s="2">
        <v>2</v>
      </c>
      <c r="L3" s="4">
        <v>2</v>
      </c>
      <c r="M3">
        <v>14</v>
      </c>
      <c r="N3">
        <v>0</v>
      </c>
    </row>
    <row r="4" spans="1:14" x14ac:dyDescent="0.25">
      <c r="A4" s="2">
        <v>3</v>
      </c>
      <c r="B4" s="4">
        <v>3</v>
      </c>
      <c r="C4">
        <v>13</v>
      </c>
      <c r="D4">
        <v>0</v>
      </c>
      <c r="F4" s="2">
        <v>3</v>
      </c>
      <c r="G4" s="4">
        <v>3</v>
      </c>
      <c r="H4">
        <v>13</v>
      </c>
      <c r="I4">
        <v>0</v>
      </c>
      <c r="K4" s="2">
        <v>3</v>
      </c>
      <c r="L4" s="7">
        <v>4</v>
      </c>
      <c r="M4">
        <v>12</v>
      </c>
      <c r="N4">
        <v>1</v>
      </c>
    </row>
    <row r="5" spans="1:14" x14ac:dyDescent="0.25">
      <c r="A5" s="2">
        <v>4</v>
      </c>
      <c r="B5" s="4">
        <v>4</v>
      </c>
      <c r="C5">
        <v>12</v>
      </c>
      <c r="D5">
        <v>0</v>
      </c>
      <c r="F5" s="2">
        <v>4</v>
      </c>
      <c r="G5" s="4">
        <v>4</v>
      </c>
      <c r="H5">
        <v>12</v>
      </c>
      <c r="I5">
        <v>0</v>
      </c>
      <c r="K5" s="2">
        <v>4</v>
      </c>
      <c r="L5" s="7">
        <v>3</v>
      </c>
      <c r="M5">
        <v>12</v>
      </c>
      <c r="N5">
        <v>0</v>
      </c>
    </row>
    <row r="6" spans="1:14" x14ac:dyDescent="0.25">
      <c r="A6" s="2">
        <v>5</v>
      </c>
      <c r="B6" s="4">
        <v>5</v>
      </c>
      <c r="C6">
        <v>11</v>
      </c>
      <c r="D6">
        <v>0</v>
      </c>
      <c r="F6" s="2">
        <v>5</v>
      </c>
      <c r="G6" s="4">
        <v>5</v>
      </c>
      <c r="H6">
        <v>11</v>
      </c>
      <c r="I6">
        <v>0</v>
      </c>
      <c r="K6" s="2">
        <v>5</v>
      </c>
      <c r="L6" s="4">
        <v>5</v>
      </c>
      <c r="M6">
        <v>11</v>
      </c>
      <c r="N6">
        <v>0</v>
      </c>
    </row>
    <row r="7" spans="1:14" x14ac:dyDescent="0.25">
      <c r="A7" s="2">
        <v>6</v>
      </c>
      <c r="B7" s="4">
        <v>6</v>
      </c>
      <c r="C7">
        <v>10</v>
      </c>
      <c r="D7">
        <v>0</v>
      </c>
      <c r="F7" s="2">
        <v>6</v>
      </c>
      <c r="G7" s="4">
        <v>6</v>
      </c>
      <c r="H7">
        <v>10</v>
      </c>
      <c r="I7">
        <v>0</v>
      </c>
      <c r="K7" s="2">
        <v>6</v>
      </c>
      <c r="L7" s="4">
        <v>6</v>
      </c>
      <c r="M7">
        <v>10</v>
      </c>
      <c r="N7">
        <v>0</v>
      </c>
    </row>
    <row r="8" spans="1:14" x14ac:dyDescent="0.25">
      <c r="A8" s="2">
        <v>7</v>
      </c>
      <c r="B8" s="4">
        <v>7</v>
      </c>
      <c r="C8">
        <v>9</v>
      </c>
      <c r="D8">
        <v>0</v>
      </c>
      <c r="F8" s="2">
        <v>7</v>
      </c>
      <c r="G8" s="4">
        <v>7</v>
      </c>
      <c r="H8">
        <v>9</v>
      </c>
      <c r="I8">
        <v>0</v>
      </c>
      <c r="K8" s="2">
        <v>7</v>
      </c>
      <c r="L8" s="4">
        <v>7</v>
      </c>
      <c r="M8">
        <v>9</v>
      </c>
      <c r="N8">
        <v>0</v>
      </c>
    </row>
    <row r="9" spans="1:14" x14ac:dyDescent="0.25">
      <c r="A9" s="2">
        <v>8</v>
      </c>
      <c r="B9" s="4">
        <v>8</v>
      </c>
      <c r="C9">
        <v>8</v>
      </c>
      <c r="D9">
        <v>0</v>
      </c>
      <c r="F9" s="2">
        <v>8</v>
      </c>
      <c r="G9" s="4">
        <v>8</v>
      </c>
      <c r="H9">
        <v>8</v>
      </c>
      <c r="I9">
        <v>0</v>
      </c>
      <c r="K9" s="2">
        <v>8</v>
      </c>
      <c r="L9" s="4">
        <v>8</v>
      </c>
      <c r="M9">
        <v>8</v>
      </c>
      <c r="N9">
        <v>0</v>
      </c>
    </row>
    <row r="10" spans="1:14" x14ac:dyDescent="0.25">
      <c r="A10" s="2">
        <v>9</v>
      </c>
      <c r="B10" s="4">
        <v>9</v>
      </c>
      <c r="C10">
        <v>7</v>
      </c>
      <c r="D10">
        <v>0</v>
      </c>
      <c r="F10" s="2">
        <v>9</v>
      </c>
      <c r="G10" s="4">
        <v>9</v>
      </c>
      <c r="H10">
        <v>7</v>
      </c>
      <c r="I10">
        <v>0</v>
      </c>
      <c r="K10" s="2">
        <v>9</v>
      </c>
      <c r="L10" s="4">
        <v>9</v>
      </c>
      <c r="M10">
        <v>7</v>
      </c>
      <c r="N10">
        <v>0</v>
      </c>
    </row>
    <row r="11" spans="1:14" x14ac:dyDescent="0.25">
      <c r="A11" s="2">
        <v>10</v>
      </c>
      <c r="B11" s="4">
        <v>10</v>
      </c>
      <c r="C11">
        <v>6</v>
      </c>
      <c r="D11">
        <v>0</v>
      </c>
      <c r="F11" s="2">
        <v>10</v>
      </c>
      <c r="G11" s="7">
        <v>11</v>
      </c>
      <c r="H11">
        <v>5</v>
      </c>
      <c r="I11">
        <v>1</v>
      </c>
      <c r="K11" s="2">
        <v>10</v>
      </c>
      <c r="L11" s="7">
        <v>11</v>
      </c>
      <c r="M11">
        <v>5</v>
      </c>
      <c r="N11">
        <v>1</v>
      </c>
    </row>
    <row r="12" spans="1:14" x14ac:dyDescent="0.25">
      <c r="A12" s="2">
        <v>11</v>
      </c>
      <c r="B12" s="4">
        <v>11</v>
      </c>
      <c r="C12">
        <v>5</v>
      </c>
      <c r="D12">
        <v>0</v>
      </c>
      <c r="F12" s="2">
        <v>11</v>
      </c>
      <c r="G12" s="7">
        <v>10</v>
      </c>
      <c r="H12">
        <v>5</v>
      </c>
      <c r="I12">
        <v>0</v>
      </c>
      <c r="K12" s="2">
        <v>11</v>
      </c>
      <c r="L12" s="7">
        <v>10</v>
      </c>
      <c r="M12">
        <v>5</v>
      </c>
      <c r="N12">
        <v>0</v>
      </c>
    </row>
    <row r="13" spans="1:14" x14ac:dyDescent="0.25">
      <c r="A13" s="2">
        <v>12</v>
      </c>
      <c r="B13" s="7">
        <v>13</v>
      </c>
      <c r="C13">
        <v>3</v>
      </c>
      <c r="D13">
        <v>1</v>
      </c>
      <c r="F13" s="2">
        <v>12</v>
      </c>
      <c r="G13" s="7">
        <v>13</v>
      </c>
      <c r="H13">
        <v>3</v>
      </c>
      <c r="I13">
        <v>1</v>
      </c>
      <c r="K13" s="2">
        <v>12</v>
      </c>
      <c r="L13" s="7">
        <v>13</v>
      </c>
      <c r="M13">
        <v>3</v>
      </c>
      <c r="N13">
        <v>1</v>
      </c>
    </row>
    <row r="14" spans="1:14" x14ac:dyDescent="0.25">
      <c r="A14" s="2">
        <v>13</v>
      </c>
      <c r="B14" s="7">
        <v>12</v>
      </c>
      <c r="C14">
        <v>3</v>
      </c>
      <c r="D14">
        <v>0</v>
      </c>
      <c r="F14" s="2">
        <v>13</v>
      </c>
      <c r="G14" s="7">
        <v>12</v>
      </c>
      <c r="H14">
        <v>3</v>
      </c>
      <c r="I14">
        <v>0</v>
      </c>
      <c r="K14" s="2">
        <v>13</v>
      </c>
      <c r="L14" s="7">
        <v>12</v>
      </c>
      <c r="M14">
        <v>3</v>
      </c>
      <c r="N14">
        <v>0</v>
      </c>
    </row>
    <row r="15" spans="1:14" x14ac:dyDescent="0.25">
      <c r="A15" s="2">
        <v>14</v>
      </c>
      <c r="B15" s="4">
        <v>14</v>
      </c>
      <c r="C15">
        <v>2</v>
      </c>
      <c r="D15">
        <v>0</v>
      </c>
      <c r="F15" s="2">
        <v>14</v>
      </c>
      <c r="G15" s="4">
        <v>14</v>
      </c>
      <c r="H15">
        <v>2</v>
      </c>
      <c r="I15">
        <v>0</v>
      </c>
      <c r="K15" s="2">
        <v>14</v>
      </c>
      <c r="L15" s="4">
        <v>14</v>
      </c>
      <c r="M15">
        <v>2</v>
      </c>
      <c r="N15">
        <v>0</v>
      </c>
    </row>
    <row r="16" spans="1:14" x14ac:dyDescent="0.25">
      <c r="A16" s="2">
        <v>15</v>
      </c>
      <c r="B16" s="4">
        <v>15</v>
      </c>
      <c r="C16">
        <v>1</v>
      </c>
      <c r="D16">
        <v>0</v>
      </c>
      <c r="F16" s="2">
        <v>15</v>
      </c>
      <c r="G16" s="4">
        <v>15</v>
      </c>
      <c r="H16">
        <v>1</v>
      </c>
      <c r="I16">
        <v>0</v>
      </c>
      <c r="K16" s="2">
        <v>15</v>
      </c>
      <c r="L16" s="4">
        <v>15</v>
      </c>
      <c r="M16">
        <v>1</v>
      </c>
      <c r="N16">
        <v>0</v>
      </c>
    </row>
    <row r="17" spans="1:14" ht="15.75" thickBot="1" x14ac:dyDescent="0.3">
      <c r="A17" s="2">
        <v>16</v>
      </c>
      <c r="B17" s="5">
        <v>16</v>
      </c>
      <c r="C17">
        <v>0</v>
      </c>
      <c r="D17">
        <v>0</v>
      </c>
      <c r="F17" s="2">
        <v>16</v>
      </c>
      <c r="G17" s="5">
        <v>16</v>
      </c>
      <c r="H17">
        <v>0</v>
      </c>
      <c r="I17">
        <v>0</v>
      </c>
      <c r="K17" s="2">
        <v>16</v>
      </c>
      <c r="L17" s="5">
        <v>16</v>
      </c>
      <c r="M17">
        <v>0</v>
      </c>
      <c r="N17">
        <v>0</v>
      </c>
    </row>
    <row r="19" spans="1:14" x14ac:dyDescent="0.25">
      <c r="C19">
        <f>SUM(C2:C17)</f>
        <v>119</v>
      </c>
      <c r="D19">
        <f>SUM(D2:D17)</f>
        <v>1</v>
      </c>
      <c r="H19">
        <f>SUM(H2:H17)</f>
        <v>118</v>
      </c>
      <c r="I19">
        <f>SUM(I2:I17)</f>
        <v>2</v>
      </c>
      <c r="M19">
        <f>SUM(M2:M17)</f>
        <v>117</v>
      </c>
      <c r="N19">
        <f>SUM(N2:N17)</f>
        <v>3</v>
      </c>
    </row>
  </sheetData>
  <sortState xmlns:xlrd2="http://schemas.microsoft.com/office/spreadsheetml/2017/richdata2" ref="K2:L17">
    <sortCondition ref="K2:K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Spearman &amp; Kendall</vt:lpstr>
      <vt:lpstr>Kendall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Kadam</dc:creator>
  <cp:lastModifiedBy>Nidhi Kadam</cp:lastModifiedBy>
  <dcterms:created xsi:type="dcterms:W3CDTF">2026-03-31T17:08:22Z</dcterms:created>
  <dcterms:modified xsi:type="dcterms:W3CDTF">2026-04-02T09:07:05Z</dcterms:modified>
</cp:coreProperties>
</file>