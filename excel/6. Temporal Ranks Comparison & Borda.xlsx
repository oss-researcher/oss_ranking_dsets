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2. Code\"/>
    </mc:Choice>
  </mc:AlternateContent>
  <xr:revisionPtr revIDLastSave="0" documentId="13_ncr:1_{F6C3E0D8-A984-4C1B-9864-00D9F7C6B3AC}" xr6:coauthVersionLast="47" xr6:coauthVersionMax="47" xr10:uidLastSave="{00000000-0000-0000-0000-000000000000}"/>
  <bookViews>
    <workbookView xWindow="-120" yWindow="-120" windowWidth="20730" windowHeight="11160" activeTab="1" xr2:uid="{57971DE3-9D18-4B35-A82F-75B938ED0AF1}"/>
  </bookViews>
  <sheets>
    <sheet name="Temporal ranks &amp; Borda" sheetId="1" r:id="rId1"/>
    <sheet name="line char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3" i="1"/>
  <c r="K3" i="1" s="1"/>
  <c r="C20" i="1"/>
  <c r="D20" i="1"/>
  <c r="E20" i="1"/>
  <c r="F20" i="1"/>
  <c r="G20" i="1"/>
  <c r="H20" i="1"/>
  <c r="K4" i="1" l="1"/>
  <c r="K7" i="1"/>
  <c r="K9" i="1"/>
  <c r="K12" i="1"/>
  <c r="K5" i="1"/>
  <c r="K20" i="1" s="1"/>
  <c r="K6" i="1"/>
  <c r="K8" i="1"/>
  <c r="K11" i="1"/>
  <c r="K10" i="1"/>
  <c r="K14" i="1"/>
  <c r="K15" i="1"/>
  <c r="K17" i="1"/>
  <c r="K13" i="1"/>
  <c r="K16" i="1"/>
  <c r="K18" i="1"/>
</calcChain>
</file>

<file path=xl/sharedStrings.xml><?xml version="1.0" encoding="utf-8"?>
<sst xmlns="http://schemas.openxmlformats.org/spreadsheetml/2006/main" count="59" uniqueCount="34">
  <si>
    <t>bugzilla.mozilla.org</t>
  </si>
  <si>
    <t>CA Program</t>
  </si>
  <si>
    <t>Calendar</t>
  </si>
  <si>
    <t>Conduit</t>
  </si>
  <si>
    <t>Data Platform and Tools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</si>
  <si>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</si>
  <si>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</si>
  <si>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</si>
  <si>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</si>
  <si>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</si>
  <si>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</si>
  <si>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</si>
  <si>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</si>
  <si>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</si>
  <si>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</si>
  <si>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Mozilla QA</t>
  </si>
  <si>
    <t>Product</t>
  </si>
  <si>
    <t>Spearman</t>
  </si>
  <si>
    <t>Borda</t>
  </si>
  <si>
    <r>
      <t>R</t>
    </r>
    <r>
      <rPr>
        <b/>
        <vertAlign val="superscript"/>
        <sz val="8"/>
        <color rgb="FF000000"/>
        <rFont val="Segoe UI"/>
        <family val="2"/>
      </rPr>
      <t>*</t>
    </r>
  </si>
  <si>
    <r>
      <t>R</t>
    </r>
    <r>
      <rPr>
        <b/>
        <vertAlign val="subscript"/>
        <sz val="8"/>
        <color rgb="FF000000"/>
        <rFont val="Segoe UI"/>
        <family val="2"/>
      </rPr>
      <t>1</t>
    </r>
  </si>
  <si>
    <r>
      <t>R</t>
    </r>
    <r>
      <rPr>
        <b/>
        <vertAlign val="subscript"/>
        <sz val="8"/>
        <color rgb="FF000000"/>
        <rFont val="Segoe UI"/>
        <family val="2"/>
      </rPr>
      <t>2</t>
    </r>
  </si>
  <si>
    <r>
      <t>R</t>
    </r>
    <r>
      <rPr>
        <b/>
        <vertAlign val="subscript"/>
        <sz val="8"/>
        <color rgb="FF000000"/>
        <rFont val="Segoe UI"/>
        <family val="2"/>
      </rPr>
      <t>3</t>
    </r>
    <r>
      <rPr>
        <sz val="11"/>
        <color theme="1"/>
        <rFont val="Aptos Narrow"/>
        <family val="2"/>
        <scheme val="minor"/>
      </rPr>
      <t/>
    </r>
  </si>
  <si>
    <r>
      <t>R</t>
    </r>
    <r>
      <rPr>
        <b/>
        <vertAlign val="subscript"/>
        <sz val="8"/>
        <color rgb="FF000000"/>
        <rFont val="Segoe UI"/>
        <family val="2"/>
      </rPr>
      <t>4</t>
    </r>
    <r>
      <rPr>
        <sz val="11"/>
        <color theme="1"/>
        <rFont val="Aptos Narrow"/>
        <family val="2"/>
        <scheme val="minor"/>
      </rPr>
      <t/>
    </r>
  </si>
  <si>
    <r>
      <t>R</t>
    </r>
    <r>
      <rPr>
        <b/>
        <vertAlign val="subscript"/>
        <sz val="8"/>
        <color rgb="FF000000"/>
        <rFont val="Segoe UI"/>
        <family val="2"/>
      </rPr>
      <t>5</t>
    </r>
    <r>
      <rPr>
        <sz val="11"/>
        <color theme="1"/>
        <rFont val="Aptos Narrow"/>
        <family val="2"/>
        <scheme val="minor"/>
      </rPr>
      <t/>
    </r>
  </si>
  <si>
    <r>
      <t>R</t>
    </r>
    <r>
      <rPr>
        <b/>
        <vertAlign val="subscript"/>
        <sz val="8"/>
        <color rgb="FF000000"/>
        <rFont val="Segoe UI"/>
        <family val="2"/>
      </rPr>
      <t>6</t>
    </r>
    <r>
      <rPr>
        <sz val="11"/>
        <color theme="1"/>
        <rFont val="Aptos Narrow"/>
        <family val="2"/>
        <scheme val="minor"/>
      </rPr>
      <t/>
    </r>
  </si>
  <si>
    <t>Score</t>
  </si>
  <si>
    <t>Rank</t>
  </si>
  <si>
    <t>Set-I</t>
  </si>
  <si>
    <t>Set-II</t>
  </si>
  <si>
    <t>Set-III</t>
  </si>
  <si>
    <t>Set-IV</t>
  </si>
  <si>
    <t>Set-VI</t>
  </si>
  <si>
    <t>Set-I to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</si>
</sst>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8"/>
      <name val="Aptos Narrow"/>
      <family val="2"/>
      <scheme val="minor"/>
    </font>
    <font>
      <b/>
      <sz val="8"/>
      <color rgb="FF000000"/>
      <name val="Segoe UI"/>
      <family val="2"/>
    </font>
    <font>
      <b/>
      <vertAlign val="superscript"/>
      <sz val="8"/>
      <color rgb="FF000000"/>
      <name val="Segoe UI"/>
      <family val="2"/>
    </font>
    <font>
      <b/>
      <vertAlign val="subscript"/>
      <sz val="8"/>
      <color rgb="FF000000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0" fontId="7" fillId="0" borderId="0" xfId="0" applyFont="1"/>
    <xf numFmtId="49" fontId="4" fillId="0" borderId="2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Temporal Evolution of Product Rankings Across Six Periods Using d-Set-Based Evaluation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chart'!$C$2</c:f>
              <c:strCache>
                <c:ptCount val="1"/>
                <c:pt idx="0">
                  <c:v>R*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chart'!$B$3:$B$18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'line chart'!$C$3:$C$18</c:f>
              <c:numCache>
                <c:formatCode>General</c:formatCode>
                <c:ptCount val="16"/>
                <c:pt idx="0">
                  <c:v>8</c:v>
                </c:pt>
                <c:pt idx="1">
                  <c:v>1</c:v>
                </c:pt>
                <c:pt idx="2">
                  <c:v>14</c:v>
                </c:pt>
                <c:pt idx="3">
                  <c:v>7</c:v>
                </c:pt>
                <c:pt idx="4">
                  <c:v>3</c:v>
                </c:pt>
                <c:pt idx="5">
                  <c:v>9</c:v>
                </c:pt>
                <c:pt idx="6">
                  <c:v>13</c:v>
                </c:pt>
                <c:pt idx="7">
                  <c:v>15</c:v>
                </c:pt>
                <c:pt idx="8">
                  <c:v>4</c:v>
                </c:pt>
                <c:pt idx="9">
                  <c:v>2</c:v>
                </c:pt>
                <c:pt idx="10">
                  <c:v>16</c:v>
                </c:pt>
                <c:pt idx="11">
                  <c:v>5</c:v>
                </c:pt>
                <c:pt idx="12">
                  <c:v>10</c:v>
                </c:pt>
                <c:pt idx="13">
                  <c:v>6</c:v>
                </c:pt>
                <c:pt idx="14">
                  <c:v>12</c:v>
                </c:pt>
                <c:pt idx="1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2-432F-ADFC-D3AAE27DCF79}"/>
            </c:ext>
          </c:extLst>
        </c:ser>
        <c:ser>
          <c:idx val="1"/>
          <c:order val="1"/>
          <c:tx>
            <c:v>R₁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chart'!$B$3:$B$18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'line chart'!$D$3:$D$18</c:f>
              <c:numCache>
                <c:formatCode>General</c:formatCode>
                <c:ptCount val="16"/>
                <c:pt idx="0">
                  <c:v>6</c:v>
                </c:pt>
                <c:pt idx="1">
                  <c:v>5</c:v>
                </c:pt>
                <c:pt idx="2">
                  <c:v>12</c:v>
                </c:pt>
                <c:pt idx="3">
                  <c:v>16</c:v>
                </c:pt>
                <c:pt idx="4">
                  <c:v>4</c:v>
                </c:pt>
                <c:pt idx="5">
                  <c:v>1</c:v>
                </c:pt>
                <c:pt idx="6">
                  <c:v>9</c:v>
                </c:pt>
                <c:pt idx="7">
                  <c:v>11</c:v>
                </c:pt>
                <c:pt idx="8">
                  <c:v>14</c:v>
                </c:pt>
                <c:pt idx="9">
                  <c:v>2</c:v>
                </c:pt>
                <c:pt idx="10">
                  <c:v>8</c:v>
                </c:pt>
                <c:pt idx="11">
                  <c:v>3</c:v>
                </c:pt>
                <c:pt idx="12">
                  <c:v>7</c:v>
                </c:pt>
                <c:pt idx="13">
                  <c:v>10</c:v>
                </c:pt>
                <c:pt idx="14">
                  <c:v>15</c:v>
                </c:pt>
                <c:pt idx="1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2-432F-ADFC-D3AAE27DCF79}"/>
            </c:ext>
          </c:extLst>
        </c:ser>
        <c:ser>
          <c:idx val="2"/>
          <c:order val="2"/>
          <c:tx>
            <c:v>R₂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 chart'!$B$3:$B$18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'line chart'!$E$3:$E$18</c:f>
              <c:numCache>
                <c:formatCode>General</c:formatCode>
                <c:ptCount val="16"/>
                <c:pt idx="0">
                  <c:v>3</c:v>
                </c:pt>
                <c:pt idx="1">
                  <c:v>4</c:v>
                </c:pt>
                <c:pt idx="2">
                  <c:v>15</c:v>
                </c:pt>
                <c:pt idx="3">
                  <c:v>8</c:v>
                </c:pt>
                <c:pt idx="4">
                  <c:v>1</c:v>
                </c:pt>
                <c:pt idx="5">
                  <c:v>14</c:v>
                </c:pt>
                <c:pt idx="6">
                  <c:v>9</c:v>
                </c:pt>
                <c:pt idx="7">
                  <c:v>10</c:v>
                </c:pt>
                <c:pt idx="8">
                  <c:v>13</c:v>
                </c:pt>
                <c:pt idx="9">
                  <c:v>2</c:v>
                </c:pt>
                <c:pt idx="10">
                  <c:v>16</c:v>
                </c:pt>
                <c:pt idx="11">
                  <c:v>5</c:v>
                </c:pt>
                <c:pt idx="12">
                  <c:v>6</c:v>
                </c:pt>
                <c:pt idx="13">
                  <c:v>12</c:v>
                </c:pt>
                <c:pt idx="14">
                  <c:v>7</c:v>
                </c:pt>
                <c:pt idx="1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52-432F-ADFC-D3AAE27DCF79}"/>
            </c:ext>
          </c:extLst>
        </c:ser>
        <c:ser>
          <c:idx val="3"/>
          <c:order val="3"/>
          <c:tx>
            <c:v>R₃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'line chart'!$B$3:$B$18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'line chart'!$F$3:$F$18</c:f>
              <c:numCache>
                <c:formatCode>General</c:formatCode>
                <c:ptCount val="16"/>
                <c:pt idx="0">
                  <c:v>14</c:v>
                </c:pt>
                <c:pt idx="1">
                  <c:v>3</c:v>
                </c:pt>
                <c:pt idx="2">
                  <c:v>11</c:v>
                </c:pt>
                <c:pt idx="3">
                  <c:v>13</c:v>
                </c:pt>
                <c:pt idx="4">
                  <c:v>2</c:v>
                </c:pt>
                <c:pt idx="5">
                  <c:v>9</c:v>
                </c:pt>
                <c:pt idx="6">
                  <c:v>12</c:v>
                </c:pt>
                <c:pt idx="7">
                  <c:v>15</c:v>
                </c:pt>
                <c:pt idx="8">
                  <c:v>10</c:v>
                </c:pt>
                <c:pt idx="9">
                  <c:v>1</c:v>
                </c:pt>
                <c:pt idx="10">
                  <c:v>8</c:v>
                </c:pt>
                <c:pt idx="11">
                  <c:v>5</c:v>
                </c:pt>
                <c:pt idx="12">
                  <c:v>7</c:v>
                </c:pt>
                <c:pt idx="13">
                  <c:v>6</c:v>
                </c:pt>
                <c:pt idx="14">
                  <c:v>4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52-432F-ADFC-D3AAE27DCF79}"/>
            </c:ext>
          </c:extLst>
        </c:ser>
        <c:ser>
          <c:idx val="4"/>
          <c:order val="4"/>
          <c:tx>
            <c:v>R₄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'line chart'!$B$3:$B$18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'line chart'!$G$3:$G$18</c:f>
              <c:numCache>
                <c:formatCode>General</c:formatCode>
                <c:ptCount val="16"/>
                <c:pt idx="0">
                  <c:v>6</c:v>
                </c:pt>
                <c:pt idx="1">
                  <c:v>3</c:v>
                </c:pt>
                <c:pt idx="2">
                  <c:v>16</c:v>
                </c:pt>
                <c:pt idx="3">
                  <c:v>11</c:v>
                </c:pt>
                <c:pt idx="4">
                  <c:v>2</c:v>
                </c:pt>
                <c:pt idx="5">
                  <c:v>8</c:v>
                </c:pt>
                <c:pt idx="6">
                  <c:v>9</c:v>
                </c:pt>
                <c:pt idx="7">
                  <c:v>15</c:v>
                </c:pt>
                <c:pt idx="8">
                  <c:v>10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  <c:pt idx="12">
                  <c:v>7</c:v>
                </c:pt>
                <c:pt idx="13">
                  <c:v>12</c:v>
                </c:pt>
                <c:pt idx="14">
                  <c:v>14</c:v>
                </c:pt>
                <c:pt idx="1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52-432F-ADFC-D3AAE27DCF79}"/>
            </c:ext>
          </c:extLst>
        </c:ser>
        <c:ser>
          <c:idx val="5"/>
          <c:order val="5"/>
          <c:tx>
            <c:v>R₅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'line chart'!$B$3:$B$18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'line chart'!$H$3:$H$18</c:f>
              <c:numCache>
                <c:formatCode>General</c:formatCode>
                <c:ptCount val="16"/>
                <c:pt idx="0">
                  <c:v>7</c:v>
                </c:pt>
                <c:pt idx="1">
                  <c:v>3</c:v>
                </c:pt>
                <c:pt idx="2">
                  <c:v>15</c:v>
                </c:pt>
                <c:pt idx="3">
                  <c:v>8</c:v>
                </c:pt>
                <c:pt idx="4">
                  <c:v>9</c:v>
                </c:pt>
                <c:pt idx="5">
                  <c:v>13</c:v>
                </c:pt>
                <c:pt idx="6">
                  <c:v>11</c:v>
                </c:pt>
                <c:pt idx="7">
                  <c:v>14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6</c:v>
                </c:pt>
                <c:pt idx="12">
                  <c:v>10</c:v>
                </c:pt>
                <c:pt idx="13">
                  <c:v>4</c:v>
                </c:pt>
                <c:pt idx="14">
                  <c:v>12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52-432F-ADFC-D3AAE27DCF79}"/>
            </c:ext>
          </c:extLst>
        </c:ser>
        <c:ser>
          <c:idx val="6"/>
          <c:order val="6"/>
          <c:tx>
            <c:v>R₆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'line chart'!$B$3:$B$18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'line chart'!$I$3:$I$18</c:f>
              <c:numCache>
                <c:formatCode>General</c:formatCode>
                <c:ptCount val="16"/>
                <c:pt idx="0">
                  <c:v>4</c:v>
                </c:pt>
                <c:pt idx="1">
                  <c:v>2</c:v>
                </c:pt>
                <c:pt idx="2">
                  <c:v>14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15</c:v>
                </c:pt>
                <c:pt idx="8">
                  <c:v>1</c:v>
                </c:pt>
                <c:pt idx="9">
                  <c:v>3</c:v>
                </c:pt>
                <c:pt idx="10">
                  <c:v>8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52-432F-ADFC-D3AAE27D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1385231"/>
        <c:axId val="1091385711"/>
      </c:lineChart>
      <c:catAx>
        <c:axId val="109138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masis MT Pro Medium" panose="02040604050005020304" pitchFamily="18" charset="0"/>
                <a:ea typeface="+mn-ea"/>
                <a:cs typeface="+mn-cs"/>
              </a:defRPr>
            </a:pPr>
            <a:endParaRPr lang="en-US"/>
          </a:p>
        </c:txPr>
        <c:crossAx val="1091385711"/>
        <c:crosses val="autoZero"/>
        <c:auto val="1"/>
        <c:lblAlgn val="ctr"/>
        <c:lblOffset val="100"/>
        <c:noMultiLvlLbl val="0"/>
      </c:catAx>
      <c:valAx>
        <c:axId val="1091385711"/>
        <c:scaling>
          <c:orientation val="minMax"/>
          <c:max val="16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38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60000" spcFirstLastPara="1" vertOverflow="ellipsis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1</xdr:row>
      <xdr:rowOff>142875</xdr:rowOff>
    </xdr:from>
    <xdr:to>
      <xdr:col>24</xdr:col>
      <xdr:colOff>314325</xdr:colOff>
      <xdr:row>22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197D5-1E39-DCF1-68F5-3E16DE12E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F6EF-AB7A-40C7-B4D3-8270BC3FF44A}">
  <dimension ref="A1:K20"/>
  <sheetViews>
    <sheetView workbookViewId="0">
      <selection activeCell="N16" sqref="N16"/>
    </sheetView>
  </sheetViews>
  <sheetFormatPr defaultRowHeight="15" x14ac:dyDescent="0.25"/>
  <cols>
    <col min="1" max="1" width="19.140625" bestFit="1" customWidth="1"/>
    <col min="2" max="2" width="15.85546875" style="2" bestFit="1" customWidth="1"/>
    <col min="3" max="10" width="9.140625" style="2" customWidth="1"/>
  </cols>
  <sheetData>
    <row r="1" spans="1:11" x14ac:dyDescent="0.25">
      <c r="B1" s="2" t="s">
        <v>33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32</v>
      </c>
      <c r="J1" s="3" t="s">
        <v>18</v>
      </c>
      <c r="K1" s="3"/>
    </row>
    <row r="2" spans="1:11" ht="15.75" thickBot="1" x14ac:dyDescent="0.3">
      <c r="A2" t="s">
        <v>16</v>
      </c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1" t="s">
        <v>25</v>
      </c>
      <c r="J2" s="12" t="s">
        <v>26</v>
      </c>
      <c r="K2" s="10" t="s">
        <v>27</v>
      </c>
    </row>
    <row r="3" spans="1:11" ht="15.75" thickBot="1" x14ac:dyDescent="0.3">
      <c r="A3" s="1" t="s">
        <v>0</v>
      </c>
      <c r="B3" s="13">
        <v>8</v>
      </c>
      <c r="C3" s="13">
        <v>6</v>
      </c>
      <c r="D3" s="13">
        <v>3</v>
      </c>
      <c r="E3" s="13">
        <v>14</v>
      </c>
      <c r="F3" s="13">
        <v>6</v>
      </c>
      <c r="G3" s="13">
        <v>7</v>
      </c>
      <c r="H3" s="13">
        <v>4</v>
      </c>
      <c r="I3" s="13"/>
      <c r="J3" s="13">
        <f>SUM(C3:H3)</f>
        <v>40</v>
      </c>
      <c r="K3" s="7">
        <f>RANK(J3,$J$3:$J$18,1)</f>
        <v>5</v>
      </c>
    </row>
    <row r="4" spans="1:11" ht="15.75" thickBot="1" x14ac:dyDescent="0.3">
      <c r="A4" s="1" t="s">
        <v>1</v>
      </c>
      <c r="B4" s="13">
        <v>1</v>
      </c>
      <c r="C4" s="13">
        <v>5</v>
      </c>
      <c r="D4" s="13">
        <v>4</v>
      </c>
      <c r="E4" s="13">
        <v>3</v>
      </c>
      <c r="F4" s="13">
        <v>3</v>
      </c>
      <c r="G4" s="13">
        <v>3</v>
      </c>
      <c r="H4" s="13">
        <v>2</v>
      </c>
      <c r="I4" s="13"/>
      <c r="J4" s="13">
        <f t="shared" ref="J4:J18" si="0">SUM(C4:H4)</f>
        <v>20</v>
      </c>
      <c r="K4" s="7">
        <f t="shared" ref="K4:K18" si="1">RANK(J4,$J$3:$J$18,1)</f>
        <v>2</v>
      </c>
    </row>
    <row r="5" spans="1:11" ht="15.75" thickBot="1" x14ac:dyDescent="0.3">
      <c r="A5" s="1" t="s">
        <v>2</v>
      </c>
      <c r="B5" s="13">
        <v>14</v>
      </c>
      <c r="C5" s="13">
        <v>12</v>
      </c>
      <c r="D5" s="13">
        <v>15</v>
      </c>
      <c r="E5" s="13">
        <v>11</v>
      </c>
      <c r="F5" s="13">
        <v>16</v>
      </c>
      <c r="G5" s="13">
        <v>15</v>
      </c>
      <c r="H5" s="13">
        <v>14</v>
      </c>
      <c r="I5" s="13"/>
      <c r="J5" s="13">
        <f t="shared" si="0"/>
        <v>83</v>
      </c>
      <c r="K5" s="7">
        <f t="shared" si="1"/>
        <v>16</v>
      </c>
    </row>
    <row r="6" spans="1:11" ht="15.75" thickBot="1" x14ac:dyDescent="0.3">
      <c r="A6" s="1" t="s">
        <v>3</v>
      </c>
      <c r="B6" s="13">
        <v>7</v>
      </c>
      <c r="C6" s="13">
        <v>16</v>
      </c>
      <c r="D6" s="13">
        <v>8</v>
      </c>
      <c r="E6" s="13">
        <v>13</v>
      </c>
      <c r="F6" s="13">
        <v>11</v>
      </c>
      <c r="G6" s="13">
        <v>8</v>
      </c>
      <c r="H6" s="13">
        <v>6</v>
      </c>
      <c r="I6" s="13"/>
      <c r="J6" s="13">
        <f t="shared" si="0"/>
        <v>62</v>
      </c>
      <c r="K6" s="7">
        <f t="shared" si="1"/>
        <v>11</v>
      </c>
    </row>
    <row r="7" spans="1:11" ht="15.75" thickBot="1" x14ac:dyDescent="0.3">
      <c r="A7" s="1" t="s">
        <v>4</v>
      </c>
      <c r="B7" s="13">
        <v>3</v>
      </c>
      <c r="C7" s="13">
        <v>4</v>
      </c>
      <c r="D7" s="13">
        <v>1</v>
      </c>
      <c r="E7" s="13">
        <v>2</v>
      </c>
      <c r="F7" s="13">
        <v>2</v>
      </c>
      <c r="G7" s="13">
        <v>9</v>
      </c>
      <c r="H7" s="13">
        <v>5</v>
      </c>
      <c r="I7" s="13"/>
      <c r="J7" s="13">
        <f t="shared" si="0"/>
        <v>23</v>
      </c>
      <c r="K7" s="7">
        <f t="shared" si="1"/>
        <v>3</v>
      </c>
    </row>
    <row r="8" spans="1:11" ht="15.75" thickBot="1" x14ac:dyDescent="0.3">
      <c r="A8" s="1" t="s">
        <v>5</v>
      </c>
      <c r="B8" s="13">
        <v>9</v>
      </c>
      <c r="C8" s="13">
        <v>1</v>
      </c>
      <c r="D8" s="13">
        <v>14</v>
      </c>
      <c r="E8" s="13">
        <v>9</v>
      </c>
      <c r="F8" s="13">
        <v>8</v>
      </c>
      <c r="G8" s="13">
        <v>13</v>
      </c>
      <c r="H8" s="13">
        <v>9</v>
      </c>
      <c r="I8" s="13"/>
      <c r="J8" s="13">
        <f t="shared" si="0"/>
        <v>54</v>
      </c>
      <c r="K8" s="7">
        <f t="shared" si="1"/>
        <v>9</v>
      </c>
    </row>
    <row r="9" spans="1:11" ht="15.75" thickBot="1" x14ac:dyDescent="0.3">
      <c r="A9" s="1" t="s">
        <v>6</v>
      </c>
      <c r="B9" s="13">
        <v>13</v>
      </c>
      <c r="C9" s="13">
        <v>9</v>
      </c>
      <c r="D9" s="13">
        <v>9</v>
      </c>
      <c r="E9" s="13">
        <v>12</v>
      </c>
      <c r="F9" s="13">
        <v>9</v>
      </c>
      <c r="G9" s="13">
        <v>11</v>
      </c>
      <c r="H9" s="13">
        <v>16</v>
      </c>
      <c r="I9" s="13"/>
      <c r="J9" s="13">
        <f t="shared" si="0"/>
        <v>66</v>
      </c>
      <c r="K9" s="7">
        <f t="shared" si="1"/>
        <v>13</v>
      </c>
    </row>
    <row r="10" spans="1:11" ht="15.75" thickBot="1" x14ac:dyDescent="0.3">
      <c r="A10" s="1" t="s">
        <v>7</v>
      </c>
      <c r="B10" s="13">
        <v>15</v>
      </c>
      <c r="C10" s="13">
        <v>11</v>
      </c>
      <c r="D10" s="13">
        <v>10</v>
      </c>
      <c r="E10" s="13">
        <v>15</v>
      </c>
      <c r="F10" s="13">
        <v>15</v>
      </c>
      <c r="G10" s="13">
        <v>14</v>
      </c>
      <c r="H10" s="13">
        <v>15</v>
      </c>
      <c r="I10" s="13"/>
      <c r="J10" s="13">
        <f t="shared" si="0"/>
        <v>80</v>
      </c>
      <c r="K10" s="7">
        <f t="shared" si="1"/>
        <v>15</v>
      </c>
    </row>
    <row r="11" spans="1:11" ht="15.75" thickBot="1" x14ac:dyDescent="0.3">
      <c r="A11" s="1" t="s">
        <v>15</v>
      </c>
      <c r="B11" s="13">
        <v>4</v>
      </c>
      <c r="C11" s="13">
        <v>14</v>
      </c>
      <c r="D11" s="13">
        <v>13</v>
      </c>
      <c r="E11" s="13">
        <v>10</v>
      </c>
      <c r="F11" s="13">
        <v>10</v>
      </c>
      <c r="G11" s="13">
        <v>1</v>
      </c>
      <c r="H11" s="13">
        <v>1</v>
      </c>
      <c r="I11" s="13"/>
      <c r="J11" s="13">
        <f t="shared" si="0"/>
        <v>49</v>
      </c>
      <c r="K11" s="7">
        <f t="shared" si="1"/>
        <v>6</v>
      </c>
    </row>
    <row r="12" spans="1:11" ht="15.75" thickBot="1" x14ac:dyDescent="0.3">
      <c r="A12" s="1" t="s">
        <v>8</v>
      </c>
      <c r="B12" s="13">
        <v>2</v>
      </c>
      <c r="C12" s="13">
        <v>2</v>
      </c>
      <c r="D12" s="13">
        <v>2</v>
      </c>
      <c r="E12" s="13">
        <v>1</v>
      </c>
      <c r="F12" s="13">
        <v>4</v>
      </c>
      <c r="G12" s="13">
        <v>2</v>
      </c>
      <c r="H12" s="13">
        <v>3</v>
      </c>
      <c r="I12" s="13"/>
      <c r="J12" s="13">
        <f t="shared" si="0"/>
        <v>14</v>
      </c>
      <c r="K12" s="7">
        <f t="shared" si="1"/>
        <v>1</v>
      </c>
    </row>
    <row r="13" spans="1:11" ht="15.75" thickBot="1" x14ac:dyDescent="0.3">
      <c r="A13" s="1" t="s">
        <v>9</v>
      </c>
      <c r="B13" s="13">
        <v>16</v>
      </c>
      <c r="C13" s="13">
        <v>8</v>
      </c>
      <c r="D13" s="13">
        <v>16</v>
      </c>
      <c r="E13" s="13">
        <v>8</v>
      </c>
      <c r="F13" s="13">
        <v>5</v>
      </c>
      <c r="G13" s="13">
        <v>5</v>
      </c>
      <c r="H13" s="13">
        <v>8</v>
      </c>
      <c r="I13" s="13"/>
      <c r="J13" s="13">
        <f t="shared" si="0"/>
        <v>50</v>
      </c>
      <c r="K13" s="7">
        <f t="shared" si="1"/>
        <v>8</v>
      </c>
    </row>
    <row r="14" spans="1:11" ht="15.75" thickBot="1" x14ac:dyDescent="0.3">
      <c r="A14" s="1" t="s">
        <v>10</v>
      </c>
      <c r="B14" s="13">
        <v>5</v>
      </c>
      <c r="C14" s="13">
        <v>3</v>
      </c>
      <c r="D14" s="13">
        <v>5</v>
      </c>
      <c r="E14" s="13">
        <v>5</v>
      </c>
      <c r="F14" s="13">
        <v>1</v>
      </c>
      <c r="G14" s="13">
        <v>6</v>
      </c>
      <c r="H14" s="13">
        <v>13</v>
      </c>
      <c r="I14" s="13"/>
      <c r="J14" s="13">
        <f t="shared" si="0"/>
        <v>33</v>
      </c>
      <c r="K14" s="7">
        <f t="shared" si="1"/>
        <v>4</v>
      </c>
    </row>
    <row r="15" spans="1:11" ht="15.75" thickBot="1" x14ac:dyDescent="0.3">
      <c r="A15" s="1" t="s">
        <v>11</v>
      </c>
      <c r="B15" s="13">
        <v>10</v>
      </c>
      <c r="C15" s="13">
        <v>7</v>
      </c>
      <c r="D15" s="13">
        <v>6</v>
      </c>
      <c r="E15" s="13">
        <v>7</v>
      </c>
      <c r="F15" s="13">
        <v>7</v>
      </c>
      <c r="G15" s="13">
        <v>10</v>
      </c>
      <c r="H15" s="13">
        <v>12</v>
      </c>
      <c r="I15" s="13"/>
      <c r="J15" s="13">
        <f t="shared" si="0"/>
        <v>49</v>
      </c>
      <c r="K15" s="7">
        <f t="shared" si="1"/>
        <v>6</v>
      </c>
    </row>
    <row r="16" spans="1:11" ht="15.75" thickBot="1" x14ac:dyDescent="0.3">
      <c r="A16" s="1" t="s">
        <v>12</v>
      </c>
      <c r="B16" s="13">
        <v>6</v>
      </c>
      <c r="C16" s="13">
        <v>10</v>
      </c>
      <c r="D16" s="13">
        <v>12</v>
      </c>
      <c r="E16" s="13">
        <v>6</v>
      </c>
      <c r="F16" s="13">
        <v>12</v>
      </c>
      <c r="G16" s="13">
        <v>4</v>
      </c>
      <c r="H16" s="13">
        <v>11</v>
      </c>
      <c r="I16" s="13"/>
      <c r="J16" s="13">
        <f t="shared" si="0"/>
        <v>55</v>
      </c>
      <c r="K16" s="7">
        <f t="shared" si="1"/>
        <v>10</v>
      </c>
    </row>
    <row r="17" spans="1:11" ht="15.75" thickBot="1" x14ac:dyDescent="0.3">
      <c r="A17" s="1" t="s">
        <v>13</v>
      </c>
      <c r="B17" s="13">
        <v>12</v>
      </c>
      <c r="C17" s="13">
        <v>15</v>
      </c>
      <c r="D17" s="13">
        <v>7</v>
      </c>
      <c r="E17" s="13">
        <v>4</v>
      </c>
      <c r="F17" s="13">
        <v>14</v>
      </c>
      <c r="G17" s="13">
        <v>12</v>
      </c>
      <c r="H17" s="13">
        <v>10</v>
      </c>
      <c r="I17" s="13"/>
      <c r="J17" s="13">
        <f t="shared" si="0"/>
        <v>62</v>
      </c>
      <c r="K17" s="7">
        <f t="shared" si="1"/>
        <v>11</v>
      </c>
    </row>
    <row r="18" spans="1:11" ht="15.75" thickBot="1" x14ac:dyDescent="0.3">
      <c r="A18" s="1" t="s">
        <v>14</v>
      </c>
      <c r="B18" s="13">
        <v>11</v>
      </c>
      <c r="C18" s="13">
        <v>13</v>
      </c>
      <c r="D18" s="13">
        <v>11</v>
      </c>
      <c r="E18" s="13">
        <v>16</v>
      </c>
      <c r="F18" s="13">
        <v>13</v>
      </c>
      <c r="G18" s="13">
        <v>16</v>
      </c>
      <c r="H18" s="13">
        <v>7</v>
      </c>
      <c r="I18" s="13"/>
      <c r="J18" s="13">
        <f t="shared" si="0"/>
        <v>76</v>
      </c>
      <c r="K18" s="7">
        <f t="shared" si="1"/>
        <v>14</v>
      </c>
    </row>
    <row r="20" spans="1:11" ht="16.5" x14ac:dyDescent="0.3">
      <c r="B20" s="2" t="s">
        <v>17</v>
      </c>
      <c r="C20" s="14">
        <f t="shared" ref="C20:H20" si="2">CORREL($B$3:$B$18,C3:C18)</f>
        <v>0.4</v>
      </c>
      <c r="D20" s="14">
        <f t="shared" si="2"/>
        <v>0.61176470588235299</v>
      </c>
      <c r="E20" s="14">
        <f t="shared" si="2"/>
        <v>0.5794117647058824</v>
      </c>
      <c r="F20" s="14">
        <f t="shared" si="2"/>
        <v>0.59411764705882353</v>
      </c>
      <c r="G20" s="14">
        <f t="shared" si="2"/>
        <v>0.6705882352941176</v>
      </c>
      <c r="H20" s="14">
        <f t="shared" si="2"/>
        <v>0.67941176470588238</v>
      </c>
      <c r="K20" s="14">
        <f t="shared" ref="K20" si="3">CORREL($B$3:$B$18,K3:K18)</f>
        <v>0.79085644217822637</v>
      </c>
    </row>
  </sheetData>
  <sortState xmlns:xlrd2="http://schemas.microsoft.com/office/spreadsheetml/2017/richdata2" ref="A3:B18">
    <sortCondition ref="A3:A18"/>
  </sortState>
  <mergeCells count="1">
    <mergeCell ref="J1:K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44DF-7868-4656-98E4-844C6F9ADDBB}">
  <dimension ref="A2:K20"/>
  <sheetViews>
    <sheetView tabSelected="1" topLeftCell="A2" workbookViewId="0">
      <selection activeCell="B20" sqref="B20:I20"/>
    </sheetView>
  </sheetViews>
  <sheetFormatPr defaultRowHeight="15" x14ac:dyDescent="0.25"/>
  <sheetData>
    <row r="2" spans="1:9" ht="15.75" thickBot="1" x14ac:dyDescent="0.3">
      <c r="A2" s="5"/>
      <c r="B2" s="4" t="s">
        <v>16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</row>
    <row r="3" spans="1:9" ht="15.75" thickBot="1" x14ac:dyDescent="0.3">
      <c r="A3" s="6">
        <v>1</v>
      </c>
      <c r="B3" s="1" t="s">
        <v>0</v>
      </c>
      <c r="C3" s="7">
        <v>8</v>
      </c>
      <c r="D3" s="7">
        <v>6</v>
      </c>
      <c r="E3" s="7">
        <v>3</v>
      </c>
      <c r="F3" s="7">
        <v>14</v>
      </c>
      <c r="G3" s="7">
        <v>6</v>
      </c>
      <c r="H3" s="7">
        <v>7</v>
      </c>
      <c r="I3" s="7">
        <v>4</v>
      </c>
    </row>
    <row r="4" spans="1:9" ht="15.75" thickBot="1" x14ac:dyDescent="0.3">
      <c r="A4" s="6">
        <v>2</v>
      </c>
      <c r="B4" s="1" t="s">
        <v>1</v>
      </c>
      <c r="C4" s="7">
        <v>1</v>
      </c>
      <c r="D4" s="7">
        <v>5</v>
      </c>
      <c r="E4" s="7">
        <v>4</v>
      </c>
      <c r="F4" s="7">
        <v>3</v>
      </c>
      <c r="G4" s="7">
        <v>3</v>
      </c>
      <c r="H4" s="7">
        <v>3</v>
      </c>
      <c r="I4" s="7">
        <v>2</v>
      </c>
    </row>
    <row r="5" spans="1:9" ht="15.75" thickBot="1" x14ac:dyDescent="0.3">
      <c r="A5" s="6">
        <v>3</v>
      </c>
      <c r="B5" s="1" t="s">
        <v>2</v>
      </c>
      <c r="C5" s="7">
        <v>14</v>
      </c>
      <c r="D5" s="7">
        <v>12</v>
      </c>
      <c r="E5" s="7">
        <v>15</v>
      </c>
      <c r="F5" s="7">
        <v>11</v>
      </c>
      <c r="G5" s="7">
        <v>16</v>
      </c>
      <c r="H5" s="7">
        <v>15</v>
      </c>
      <c r="I5" s="7">
        <v>14</v>
      </c>
    </row>
    <row r="6" spans="1:9" ht="15.75" thickBot="1" x14ac:dyDescent="0.3">
      <c r="A6" s="6">
        <v>4</v>
      </c>
      <c r="B6" s="1" t="s">
        <v>3</v>
      </c>
      <c r="C6" s="7">
        <v>7</v>
      </c>
      <c r="D6" s="7">
        <v>16</v>
      </c>
      <c r="E6" s="7">
        <v>8</v>
      </c>
      <c r="F6" s="7">
        <v>13</v>
      </c>
      <c r="G6" s="7">
        <v>11</v>
      </c>
      <c r="H6" s="7">
        <v>8</v>
      </c>
      <c r="I6" s="7">
        <v>6</v>
      </c>
    </row>
    <row r="7" spans="1:9" ht="15.75" thickBot="1" x14ac:dyDescent="0.3">
      <c r="A7" s="6">
        <v>5</v>
      </c>
      <c r="B7" s="1" t="s">
        <v>4</v>
      </c>
      <c r="C7" s="7">
        <v>3</v>
      </c>
      <c r="D7" s="7">
        <v>4</v>
      </c>
      <c r="E7" s="7">
        <v>1</v>
      </c>
      <c r="F7" s="7">
        <v>2</v>
      </c>
      <c r="G7" s="7">
        <v>2</v>
      </c>
      <c r="H7" s="7">
        <v>9</v>
      </c>
      <c r="I7" s="7">
        <v>5</v>
      </c>
    </row>
    <row r="8" spans="1:9" ht="15.75" thickBot="1" x14ac:dyDescent="0.3">
      <c r="A8" s="6">
        <v>6</v>
      </c>
      <c r="B8" s="1" t="s">
        <v>5</v>
      </c>
      <c r="C8" s="7">
        <v>9</v>
      </c>
      <c r="D8" s="7">
        <v>1</v>
      </c>
      <c r="E8" s="7">
        <v>14</v>
      </c>
      <c r="F8" s="7">
        <v>9</v>
      </c>
      <c r="G8" s="7">
        <v>8</v>
      </c>
      <c r="H8" s="7">
        <v>13</v>
      </c>
      <c r="I8" s="7">
        <v>9</v>
      </c>
    </row>
    <row r="9" spans="1:9" ht="15.75" thickBot="1" x14ac:dyDescent="0.3">
      <c r="A9" s="6">
        <v>7</v>
      </c>
      <c r="B9" s="1" t="s">
        <v>6</v>
      </c>
      <c r="C9" s="7">
        <v>13</v>
      </c>
      <c r="D9" s="7">
        <v>9</v>
      </c>
      <c r="E9" s="7">
        <v>9</v>
      </c>
      <c r="F9" s="7">
        <v>12</v>
      </c>
      <c r="G9" s="7">
        <v>9</v>
      </c>
      <c r="H9" s="7">
        <v>11</v>
      </c>
      <c r="I9" s="7">
        <v>16</v>
      </c>
    </row>
    <row r="10" spans="1:9" ht="15.75" thickBot="1" x14ac:dyDescent="0.3">
      <c r="A10" s="6">
        <v>8</v>
      </c>
      <c r="B10" s="1" t="s">
        <v>7</v>
      </c>
      <c r="C10" s="7">
        <v>15</v>
      </c>
      <c r="D10" s="7">
        <v>11</v>
      </c>
      <c r="E10" s="7">
        <v>10</v>
      </c>
      <c r="F10" s="7">
        <v>15</v>
      </c>
      <c r="G10" s="7">
        <v>15</v>
      </c>
      <c r="H10" s="7">
        <v>14</v>
      </c>
      <c r="I10" s="7">
        <v>15</v>
      </c>
    </row>
    <row r="11" spans="1:9" ht="15.75" thickBot="1" x14ac:dyDescent="0.3">
      <c r="A11" s="6">
        <v>9</v>
      </c>
      <c r="B11" s="1" t="s">
        <v>15</v>
      </c>
      <c r="C11" s="7">
        <v>4</v>
      </c>
      <c r="D11" s="7">
        <v>14</v>
      </c>
      <c r="E11" s="7">
        <v>13</v>
      </c>
      <c r="F11" s="7">
        <v>10</v>
      </c>
      <c r="G11" s="7">
        <v>10</v>
      </c>
      <c r="H11" s="7">
        <v>1</v>
      </c>
      <c r="I11" s="7">
        <v>1</v>
      </c>
    </row>
    <row r="12" spans="1:9" ht="15.75" thickBot="1" x14ac:dyDescent="0.3">
      <c r="A12" s="6">
        <v>10</v>
      </c>
      <c r="B12" s="1" t="s">
        <v>8</v>
      </c>
      <c r="C12" s="7">
        <v>2</v>
      </c>
      <c r="D12" s="7">
        <v>2</v>
      </c>
      <c r="E12" s="7">
        <v>2</v>
      </c>
      <c r="F12" s="7">
        <v>1</v>
      </c>
      <c r="G12" s="7">
        <v>4</v>
      </c>
      <c r="H12" s="7">
        <v>2</v>
      </c>
      <c r="I12" s="7">
        <v>3</v>
      </c>
    </row>
    <row r="13" spans="1:9" ht="15.75" thickBot="1" x14ac:dyDescent="0.3">
      <c r="A13" s="6">
        <v>11</v>
      </c>
      <c r="B13" s="1" t="s">
        <v>9</v>
      </c>
      <c r="C13" s="7">
        <v>16</v>
      </c>
      <c r="D13" s="7">
        <v>8</v>
      </c>
      <c r="E13" s="7">
        <v>16</v>
      </c>
      <c r="F13" s="7">
        <v>8</v>
      </c>
      <c r="G13" s="7">
        <v>5</v>
      </c>
      <c r="H13" s="7">
        <v>5</v>
      </c>
      <c r="I13" s="7">
        <v>8</v>
      </c>
    </row>
    <row r="14" spans="1:9" ht="15.75" thickBot="1" x14ac:dyDescent="0.3">
      <c r="A14" s="6">
        <v>12</v>
      </c>
      <c r="B14" s="1" t="s">
        <v>10</v>
      </c>
      <c r="C14" s="7">
        <v>5</v>
      </c>
      <c r="D14" s="7">
        <v>3</v>
      </c>
      <c r="E14" s="7">
        <v>5</v>
      </c>
      <c r="F14" s="7">
        <v>5</v>
      </c>
      <c r="G14" s="7">
        <v>1</v>
      </c>
      <c r="H14" s="7">
        <v>6</v>
      </c>
      <c r="I14" s="7">
        <v>13</v>
      </c>
    </row>
    <row r="15" spans="1:9" ht="15.75" thickBot="1" x14ac:dyDescent="0.3">
      <c r="A15" s="6">
        <v>13</v>
      </c>
      <c r="B15" s="1" t="s">
        <v>11</v>
      </c>
      <c r="C15" s="7">
        <v>10</v>
      </c>
      <c r="D15" s="7">
        <v>7</v>
      </c>
      <c r="E15" s="7">
        <v>6</v>
      </c>
      <c r="F15" s="7">
        <v>7</v>
      </c>
      <c r="G15" s="7">
        <v>7</v>
      </c>
      <c r="H15" s="7">
        <v>10</v>
      </c>
      <c r="I15" s="7">
        <v>12</v>
      </c>
    </row>
    <row r="16" spans="1:9" ht="15.75" thickBot="1" x14ac:dyDescent="0.3">
      <c r="A16" s="6">
        <v>14</v>
      </c>
      <c r="B16" s="1" t="s">
        <v>12</v>
      </c>
      <c r="C16" s="7">
        <v>6</v>
      </c>
      <c r="D16" s="7">
        <v>10</v>
      </c>
      <c r="E16" s="7">
        <v>12</v>
      </c>
      <c r="F16" s="7">
        <v>6</v>
      </c>
      <c r="G16" s="7">
        <v>12</v>
      </c>
      <c r="H16" s="7">
        <v>4</v>
      </c>
      <c r="I16" s="7">
        <v>11</v>
      </c>
    </row>
    <row r="17" spans="1:11" ht="15.75" thickBot="1" x14ac:dyDescent="0.3">
      <c r="A17" s="6">
        <v>15</v>
      </c>
      <c r="B17" s="1" t="s">
        <v>13</v>
      </c>
      <c r="C17" s="7">
        <v>12</v>
      </c>
      <c r="D17" s="7">
        <v>15</v>
      </c>
      <c r="E17" s="7">
        <v>7</v>
      </c>
      <c r="F17" s="7">
        <v>4</v>
      </c>
      <c r="G17" s="7">
        <v>14</v>
      </c>
      <c r="H17" s="7">
        <v>12</v>
      </c>
      <c r="I17" s="7">
        <v>10</v>
      </c>
    </row>
    <row r="18" spans="1:11" ht="15.75" thickBot="1" x14ac:dyDescent="0.3">
      <c r="A18" s="6">
        <v>16</v>
      </c>
      <c r="B18" s="1" t="s">
        <v>14</v>
      </c>
      <c r="C18" s="7">
        <v>11</v>
      </c>
      <c r="D18" s="7">
        <v>13</v>
      </c>
      <c r="E18" s="7">
        <v>11</v>
      </c>
      <c r="F18" s="7">
        <v>16</v>
      </c>
      <c r="G18" s="7">
        <v>13</v>
      </c>
      <c r="H18" s="7">
        <v>16</v>
      </c>
      <c r="I18" s="7">
        <v>7</v>
      </c>
    </row>
    <row r="20" spans="1:11" ht="16.5" x14ac:dyDescent="0.3">
      <c r="B20" s="9"/>
      <c r="C20" s="9"/>
      <c r="D20" s="9"/>
      <c r="E20" s="9"/>
      <c r="F20" s="9"/>
      <c r="G20" s="9"/>
      <c r="H20" s="9"/>
      <c r="I20" s="9"/>
      <c r="K20" t="e">
        <f t="shared" ref="K20" si="0">CORREL($B$3:$B$18,K3:K18)</f>
        <v>#DIV/0!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Temporal ranks &amp; Borda</vt:lpstr>
      <vt:lpstr>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Kadam</dc:creator>
  <cp:lastModifiedBy>Nidhi Kadam</cp:lastModifiedBy>
  <dcterms:created xsi:type="dcterms:W3CDTF">2026-03-31T17:08:22Z</dcterms:created>
  <dcterms:modified xsi:type="dcterms:W3CDTF">2026-04-02T09:34:11Z</dcterms:modified>
</cp:coreProperties>
</file>