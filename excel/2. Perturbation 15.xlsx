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git\excel\"/>
    </mc:Choice>
  </mc:AlternateContent>
  <xr:revisionPtr revIDLastSave="0" documentId="13_ncr:1_{6627F281-26AB-443B-9456-F931517B3AA7}" xr6:coauthVersionLast="47" xr6:coauthVersionMax="47" xr10:uidLastSave="{00000000-0000-0000-0000-000000000000}"/>
  <bookViews>
    <workbookView xWindow="20370" yWindow="-120" windowWidth="29040" windowHeight="1584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7" l="1"/>
  <c r="AC37" i="7"/>
  <c r="AD37" i="7"/>
  <c r="AB38" i="7"/>
  <c r="AC38" i="7"/>
  <c r="AD38" i="7"/>
  <c r="AB39" i="7"/>
  <c r="AC39" i="7"/>
  <c r="AD39" i="7"/>
  <c r="AB40" i="7"/>
  <c r="AC40" i="7"/>
  <c r="AD40" i="7"/>
  <c r="X29" i="7"/>
  <c r="W29" i="7"/>
  <c r="V29" i="7"/>
  <c r="U29" i="7"/>
  <c r="X28" i="7"/>
  <c r="W28" i="7"/>
  <c r="V28" i="7"/>
  <c r="U28" i="7"/>
  <c r="X27" i="7"/>
  <c r="W27" i="7"/>
  <c r="V27" i="7"/>
  <c r="U27" i="7"/>
  <c r="X24" i="7"/>
  <c r="W24" i="7"/>
  <c r="V24" i="7"/>
  <c r="U24" i="7"/>
  <c r="X23" i="7"/>
  <c r="W23" i="7"/>
  <c r="V23" i="7"/>
  <c r="U23" i="7"/>
  <c r="X22" i="7"/>
  <c r="W22" i="7"/>
  <c r="V22" i="7"/>
  <c r="U22" i="7"/>
  <c r="AJ5" i="7"/>
  <c r="AI5" i="7"/>
  <c r="AH5" i="7"/>
  <c r="AG5" i="7"/>
  <c r="AJ4" i="7"/>
  <c r="AI4" i="7"/>
  <c r="AH4" i="7"/>
  <c r="AG4" i="7"/>
  <c r="F17" i="6"/>
  <c r="W32" i="7" l="1"/>
  <c r="X32" i="7"/>
  <c r="V32" i="7"/>
  <c r="U32" i="7"/>
  <c r="X37" i="7"/>
  <c r="CL24" i="7" s="1"/>
  <c r="X38" i="7"/>
  <c r="CM24" i="7" s="1"/>
  <c r="X35" i="7"/>
  <c r="CJ24" i="7" s="1"/>
  <c r="X36" i="7"/>
  <c r="CK24" i="7" s="1"/>
  <c r="W37" i="7"/>
  <c r="CH24" i="7" s="1"/>
  <c r="W38" i="7"/>
  <c r="CI24" i="7" s="1"/>
  <c r="W36" i="7"/>
  <c r="CG24" i="7" s="1"/>
  <c r="W35" i="7"/>
  <c r="V37" i="7"/>
  <c r="CL4" i="7" s="1"/>
  <c r="V38" i="7"/>
  <c r="CM4" i="7" s="1"/>
  <c r="V36" i="7"/>
  <c r="CK4" i="7" s="1"/>
  <c r="V35" i="7"/>
  <c r="U36" i="7"/>
  <c r="AA38" i="7" s="1"/>
  <c r="CG4" i="7" s="1"/>
  <c r="U35" i="7"/>
  <c r="AA37" i="7" s="1"/>
  <c r="CF4" i="7" s="1"/>
  <c r="U37" i="7"/>
  <c r="AA39" i="7" s="1"/>
  <c r="CH4" i="7" s="1"/>
  <c r="U38" i="7"/>
  <c r="AA40" i="7" s="1"/>
  <c r="CI4" i="7" s="1"/>
  <c r="AO83" i="7"/>
  <c r="BG83" i="7" s="1"/>
  <c r="AO17" i="7"/>
  <c r="BG17" i="7" s="1"/>
  <c r="AO5" i="7"/>
  <c r="BG5" i="7" s="1"/>
  <c r="AO23" i="7"/>
  <c r="BG23" i="7" s="1"/>
  <c r="AO72" i="7"/>
  <c r="BG72" i="7" s="1"/>
  <c r="AO47" i="7"/>
  <c r="BG47" i="7" s="1"/>
  <c r="AO6" i="7"/>
  <c r="BG6" i="7" s="1"/>
  <c r="AO42" i="7"/>
  <c r="BG42" i="7" s="1"/>
  <c r="AO26" i="7"/>
  <c r="BG26" i="7" s="1"/>
  <c r="AO18" i="7"/>
  <c r="BG18" i="7" s="1"/>
  <c r="AO7" i="7"/>
  <c r="BG7" i="7" s="1"/>
  <c r="AO99" i="7"/>
  <c r="BG99" i="7" s="1"/>
  <c r="AO71" i="7"/>
  <c r="BG71" i="7" s="1"/>
  <c r="AO45" i="7"/>
  <c r="BG45" i="7" s="1"/>
  <c r="AO8" i="7"/>
  <c r="BG8" i="7" s="1"/>
  <c r="AO66" i="7"/>
  <c r="BG66" i="7" s="1"/>
  <c r="AO52" i="7"/>
  <c r="BG52" i="7" s="1"/>
  <c r="AO19" i="7"/>
  <c r="BG19" i="7" s="1"/>
  <c r="AO9" i="7"/>
  <c r="BG9" i="7" s="1"/>
  <c r="AO24" i="7"/>
  <c r="BG24" i="7" s="1"/>
  <c r="AO70" i="7"/>
  <c r="BG70" i="7" s="1"/>
  <c r="AO62" i="7"/>
  <c r="BG62" i="7" s="1"/>
  <c r="AO10" i="7"/>
  <c r="BG10" i="7" s="1"/>
  <c r="AO43" i="7"/>
  <c r="BG43" i="7" s="1"/>
  <c r="AO61" i="7"/>
  <c r="BG61" i="7" s="1"/>
  <c r="AO63" i="7"/>
  <c r="BG63" i="7" s="1"/>
  <c r="AO11" i="7"/>
  <c r="BG11" i="7" s="1"/>
  <c r="AO4" i="7"/>
  <c r="BG4" i="7" s="1"/>
  <c r="AO69" i="7"/>
  <c r="BG69" i="7" s="1"/>
  <c r="AO20" i="7"/>
  <c r="BG20" i="7" s="1"/>
  <c r="AO12" i="7"/>
  <c r="BG12" i="7" s="1"/>
  <c r="AO54" i="7"/>
  <c r="BG54" i="7" s="1"/>
  <c r="AO53" i="7"/>
  <c r="BG53" i="7" s="1"/>
  <c r="AO65" i="7"/>
  <c r="BG65" i="7" s="1"/>
  <c r="AO13" i="7"/>
  <c r="BG13" i="7" s="1"/>
  <c r="AO28" i="7"/>
  <c r="BG28" i="7" s="1"/>
  <c r="AO68" i="7"/>
  <c r="BG68" i="7" s="1"/>
  <c r="AO21" i="7"/>
  <c r="BG21" i="7" s="1"/>
  <c r="AO14" i="7"/>
  <c r="BG14" i="7" s="1"/>
  <c r="AO44" i="7"/>
  <c r="BG44" i="7" s="1"/>
  <c r="AO25" i="7"/>
  <c r="BG25" i="7" s="1"/>
  <c r="AO89" i="7"/>
  <c r="BG89" i="7" s="1"/>
  <c r="AO15" i="7"/>
  <c r="BG15" i="7" s="1"/>
  <c r="AO27" i="7"/>
  <c r="BG27" i="7" s="1"/>
  <c r="AO67" i="7"/>
  <c r="BG67" i="7" s="1"/>
  <c r="AO22" i="7"/>
  <c r="BG22" i="7" s="1"/>
  <c r="AO16" i="7"/>
  <c r="BG16" i="7" s="1"/>
  <c r="AO46" i="7"/>
  <c r="BG46" i="7" s="1"/>
  <c r="AO64" i="7"/>
  <c r="BG64" i="7" s="1"/>
  <c r="AO91" i="7"/>
  <c r="BG91" i="7" s="1"/>
  <c r="AO29" i="7"/>
  <c r="BG29" i="7" s="1"/>
  <c r="AO92" i="7"/>
  <c r="BG92" i="7" s="1"/>
  <c r="AO30" i="7"/>
  <c r="BG30" i="7" s="1"/>
  <c r="AO51" i="7"/>
  <c r="BG51" i="7" s="1"/>
  <c r="AO60" i="7"/>
  <c r="BG60" i="7" s="1"/>
  <c r="AO31" i="7"/>
  <c r="BG31" i="7" s="1"/>
  <c r="AO93" i="7"/>
  <c r="BG93" i="7" s="1"/>
  <c r="AO32" i="7"/>
  <c r="BG32" i="7" s="1"/>
  <c r="AO59" i="7"/>
  <c r="BG59" i="7" s="1"/>
  <c r="AO33" i="7"/>
  <c r="BG33" i="7" s="1"/>
  <c r="AO94" i="7"/>
  <c r="BG94" i="7" s="1"/>
  <c r="AO34" i="7"/>
  <c r="BG34" i="7" s="1"/>
  <c r="AO50" i="7"/>
  <c r="BG50" i="7" s="1"/>
  <c r="AO58" i="7"/>
  <c r="BG58" i="7" s="1"/>
  <c r="AO35" i="7"/>
  <c r="BG35" i="7" s="1"/>
  <c r="AO95" i="7"/>
  <c r="BG95" i="7" s="1"/>
  <c r="AO36" i="7"/>
  <c r="BG36" i="7" s="1"/>
  <c r="AO57" i="7"/>
  <c r="BG57" i="7" s="1"/>
  <c r="AO37" i="7"/>
  <c r="BG37" i="7" s="1"/>
  <c r="AO96" i="7"/>
  <c r="BG96" i="7" s="1"/>
  <c r="AO38" i="7"/>
  <c r="BG38" i="7" s="1"/>
  <c r="AO49" i="7"/>
  <c r="BG49" i="7" s="1"/>
  <c r="AO56" i="7"/>
  <c r="BG56" i="7" s="1"/>
  <c r="AO39" i="7"/>
  <c r="BG39" i="7" s="1"/>
  <c r="AO97" i="7"/>
  <c r="BG97" i="7" s="1"/>
  <c r="AO40" i="7"/>
  <c r="BG40" i="7" s="1"/>
  <c r="AO82" i="7"/>
  <c r="BG82" i="7" s="1"/>
  <c r="AO98" i="7"/>
  <c r="BG98" i="7" s="1"/>
  <c r="AO41" i="7"/>
  <c r="BG41" i="7" s="1"/>
  <c r="AO48" i="7"/>
  <c r="BG48" i="7" s="1"/>
  <c r="AO55" i="7"/>
  <c r="BG55" i="7" s="1"/>
  <c r="AO73" i="7"/>
  <c r="BG73" i="7" s="1"/>
  <c r="AO74" i="7"/>
  <c r="BG74" i="7" s="1"/>
  <c r="AO75" i="7"/>
  <c r="BG75" i="7" s="1"/>
  <c r="AO76" i="7"/>
  <c r="BG76" i="7" s="1"/>
  <c r="AO77" i="7"/>
  <c r="BG77" i="7" s="1"/>
  <c r="AO78" i="7"/>
  <c r="BG78" i="7" s="1"/>
  <c r="AO79" i="7"/>
  <c r="BG79" i="7" s="1"/>
  <c r="AO80" i="7"/>
  <c r="BG80" i="7" s="1"/>
  <c r="AO81" i="7"/>
  <c r="BG81" i="7" s="1"/>
  <c r="AO84" i="7"/>
  <c r="BG84" i="7" s="1"/>
  <c r="AO85" i="7"/>
  <c r="BG85" i="7" s="1"/>
  <c r="AO86" i="7"/>
  <c r="BG86" i="7" s="1"/>
  <c r="AO87" i="7"/>
  <c r="BG87" i="7" s="1"/>
  <c r="AO88" i="7"/>
  <c r="BG88" i="7" s="1"/>
  <c r="AO90" i="7"/>
  <c r="BG90" i="7" s="1"/>
  <c r="AN73" i="7"/>
  <c r="BF73" i="7" s="1"/>
  <c r="AN29" i="7"/>
  <c r="BF29" i="7" s="1"/>
  <c r="AN5" i="7"/>
  <c r="BF5" i="7" s="1"/>
  <c r="AN42" i="7"/>
  <c r="BF42" i="7" s="1"/>
  <c r="AN61" i="7"/>
  <c r="BF61" i="7" s="1"/>
  <c r="AN30" i="7"/>
  <c r="BF30" i="7" s="1"/>
  <c r="AN6" i="7"/>
  <c r="BF6" i="7" s="1"/>
  <c r="AN72" i="7"/>
  <c r="BF72" i="7" s="1"/>
  <c r="AN7" i="7"/>
  <c r="BF7" i="7" s="1"/>
  <c r="AN31" i="7"/>
  <c r="BF31" i="7" s="1"/>
  <c r="AN8" i="7"/>
  <c r="BF8" i="7" s="1"/>
  <c r="AN55" i="7"/>
  <c r="BF55" i="7" s="1"/>
  <c r="AN60" i="7"/>
  <c r="BF60" i="7" s="1"/>
  <c r="AN32" i="7"/>
  <c r="BF32" i="7" s="1"/>
  <c r="AN71" i="7"/>
  <c r="BF71" i="7" s="1"/>
  <c r="AN51" i="7"/>
  <c r="BF51" i="7" s="1"/>
  <c r="AN9" i="7"/>
  <c r="BF9" i="7" s="1"/>
  <c r="AN33" i="7"/>
  <c r="BF33" i="7" s="1"/>
  <c r="AN43" i="7"/>
  <c r="BF43" i="7" s="1"/>
  <c r="AN10" i="7"/>
  <c r="BF10" i="7" s="1"/>
  <c r="AN59" i="7"/>
  <c r="BF59" i="7" s="1"/>
  <c r="AN34" i="7"/>
  <c r="BF34" i="7" s="1"/>
  <c r="AN11" i="7"/>
  <c r="BF11" i="7" s="1"/>
  <c r="AN12" i="7"/>
  <c r="BF12" i="7" s="1"/>
  <c r="AN69" i="7"/>
  <c r="BF69" i="7" s="1"/>
  <c r="AN35" i="7"/>
  <c r="BF35" i="7" s="1"/>
  <c r="AN13" i="7"/>
  <c r="BF13" i="7" s="1"/>
  <c r="AN44" i="7"/>
  <c r="BF44" i="7" s="1"/>
  <c r="AN58" i="7"/>
  <c r="BF58" i="7" s="1"/>
  <c r="AN36" i="7"/>
  <c r="BF36" i="7" s="1"/>
  <c r="AN14" i="7"/>
  <c r="BF14" i="7" s="1"/>
  <c r="AN50" i="7"/>
  <c r="BF50" i="7" s="1"/>
  <c r="AN68" i="7"/>
  <c r="BF68" i="7" s="1"/>
  <c r="AN37" i="7"/>
  <c r="BF37" i="7" s="1"/>
  <c r="AN15" i="7"/>
  <c r="BF15" i="7" s="1"/>
  <c r="AN48" i="7"/>
  <c r="BF48" i="7" s="1"/>
  <c r="AN57" i="7"/>
  <c r="BF57" i="7" s="1"/>
  <c r="AN38" i="7"/>
  <c r="BF38" i="7" s="1"/>
  <c r="AN16" i="7"/>
  <c r="BF16" i="7" s="1"/>
  <c r="AN54" i="7"/>
  <c r="BF54" i="7" s="1"/>
  <c r="AN70" i="7"/>
  <c r="BF70" i="7" s="1"/>
  <c r="AN39" i="7"/>
  <c r="BF39" i="7" s="1"/>
  <c r="AN17" i="7"/>
  <c r="BF17" i="7" s="1"/>
  <c r="AN45" i="7"/>
  <c r="BF45" i="7" s="1"/>
  <c r="AN56" i="7"/>
  <c r="BF56" i="7" s="1"/>
  <c r="AN40" i="7"/>
  <c r="BF40" i="7" s="1"/>
  <c r="AN67" i="7"/>
  <c r="BF67" i="7" s="1"/>
  <c r="AN18" i="7"/>
  <c r="BF18" i="7" s="1"/>
  <c r="AN19" i="7"/>
  <c r="BF19" i="7" s="1"/>
  <c r="AN41" i="7"/>
  <c r="BF41" i="7" s="1"/>
  <c r="AN47" i="7"/>
  <c r="BF47" i="7" s="1"/>
  <c r="AN66" i="7"/>
  <c r="BF66" i="7" s="1"/>
  <c r="AN20" i="7"/>
  <c r="BF20" i="7" s="1"/>
  <c r="AN21" i="7"/>
  <c r="BF21" i="7" s="1"/>
  <c r="AN74" i="7"/>
  <c r="BF74" i="7" s="1"/>
  <c r="AN46" i="7"/>
  <c r="BF46" i="7" s="1"/>
  <c r="AN75" i="7"/>
  <c r="BF75" i="7" s="1"/>
  <c r="AN65" i="7"/>
  <c r="BF65" i="7" s="1"/>
  <c r="AN76" i="7"/>
  <c r="BF76" i="7" s="1"/>
  <c r="AN22" i="7"/>
  <c r="BF22" i="7" s="1"/>
  <c r="AN77" i="7"/>
  <c r="BF77" i="7" s="1"/>
  <c r="AN23" i="7"/>
  <c r="BF23" i="7" s="1"/>
  <c r="AN78" i="7"/>
  <c r="BF78" i="7" s="1"/>
  <c r="AN64" i="7"/>
  <c r="BF64" i="7" s="1"/>
  <c r="AN79" i="7"/>
  <c r="BF79" i="7" s="1"/>
  <c r="AN24" i="7"/>
  <c r="BF24" i="7" s="1"/>
  <c r="AN80" i="7"/>
  <c r="BF80" i="7" s="1"/>
  <c r="AN53" i="7"/>
  <c r="BF53" i="7" s="1"/>
  <c r="AN81" i="7"/>
  <c r="BF81" i="7" s="1"/>
  <c r="AN25" i="7"/>
  <c r="BF25" i="7" s="1"/>
  <c r="AN82" i="7"/>
  <c r="BF82" i="7" s="1"/>
  <c r="AN49" i="7"/>
  <c r="BF49" i="7" s="1"/>
  <c r="AN83" i="7"/>
  <c r="BF83" i="7" s="1"/>
  <c r="AN84" i="7"/>
  <c r="BF84" i="7" s="1"/>
  <c r="AN63" i="7"/>
  <c r="BF63" i="7" s="1"/>
  <c r="AN85" i="7"/>
  <c r="BF85" i="7" s="1"/>
  <c r="AN26" i="7"/>
  <c r="BF26" i="7" s="1"/>
  <c r="AN86" i="7"/>
  <c r="BF86" i="7" s="1"/>
  <c r="AN27" i="7"/>
  <c r="BF27" i="7" s="1"/>
  <c r="AN87" i="7"/>
  <c r="BF87" i="7" s="1"/>
  <c r="AN62" i="7"/>
  <c r="BF62" i="7" s="1"/>
  <c r="AN88" i="7"/>
  <c r="BF88" i="7" s="1"/>
  <c r="AN28" i="7"/>
  <c r="BF28" i="7" s="1"/>
  <c r="AN89" i="7"/>
  <c r="BF89" i="7" s="1"/>
  <c r="AN90" i="7"/>
  <c r="BF90" i="7" s="1"/>
  <c r="AN52" i="7"/>
  <c r="BF52" i="7" s="1"/>
  <c r="AN91" i="7"/>
  <c r="BF91" i="7" s="1"/>
  <c r="AN92" i="7"/>
  <c r="BF92" i="7" s="1"/>
  <c r="AN93" i="7"/>
  <c r="BF93" i="7" s="1"/>
  <c r="AN94" i="7"/>
  <c r="BF94" i="7" s="1"/>
  <c r="AN95" i="7"/>
  <c r="BF95" i="7" s="1"/>
  <c r="AN96" i="7"/>
  <c r="BF96" i="7" s="1"/>
  <c r="AN97" i="7"/>
  <c r="BF97" i="7" s="1"/>
  <c r="AN98" i="7"/>
  <c r="BF98" i="7" s="1"/>
  <c r="AN99" i="7"/>
  <c r="BF99" i="7" s="1"/>
  <c r="AN4" i="7"/>
  <c r="BF4" i="7" s="1"/>
  <c r="AP59" i="7"/>
  <c r="BH59" i="7" s="1"/>
  <c r="AP48" i="7"/>
  <c r="BH48" i="7" s="1"/>
  <c r="AP49" i="7"/>
  <c r="BH49" i="7" s="1"/>
  <c r="AP50" i="7"/>
  <c r="BH50" i="7" s="1"/>
  <c r="AP51" i="7"/>
  <c r="BH51" i="7" s="1"/>
  <c r="AP52" i="7"/>
  <c r="BH52" i="7" s="1"/>
  <c r="AP53" i="7"/>
  <c r="BH53" i="7" s="1"/>
  <c r="AP54" i="7"/>
  <c r="BH54" i="7" s="1"/>
  <c r="AP55" i="7"/>
  <c r="BH55" i="7" s="1"/>
  <c r="AP56" i="7"/>
  <c r="BH56" i="7" s="1"/>
  <c r="AP57" i="7"/>
  <c r="BH57" i="7" s="1"/>
  <c r="AP58" i="7"/>
  <c r="BH58" i="7" s="1"/>
  <c r="AP60" i="7"/>
  <c r="BH60" i="7" s="1"/>
  <c r="AP61" i="7"/>
  <c r="BH61" i="7" s="1"/>
  <c r="AP62" i="7"/>
  <c r="BH62" i="7" s="1"/>
  <c r="AP63" i="7"/>
  <c r="BH63" i="7" s="1"/>
  <c r="AP64" i="7"/>
  <c r="BH64" i="7" s="1"/>
  <c r="AP65" i="7"/>
  <c r="BH65" i="7" s="1"/>
  <c r="AP66" i="7"/>
  <c r="BH66" i="7" s="1"/>
  <c r="AP67" i="7"/>
  <c r="BH67" i="7" s="1"/>
  <c r="AP68" i="7"/>
  <c r="BH68" i="7" s="1"/>
  <c r="AP69" i="7"/>
  <c r="BH69" i="7" s="1"/>
  <c r="AP70" i="7"/>
  <c r="BH70" i="7" s="1"/>
  <c r="AP71" i="7"/>
  <c r="BH71" i="7" s="1"/>
  <c r="AP72" i="7"/>
  <c r="BH72" i="7" s="1"/>
  <c r="AP5" i="7"/>
  <c r="BH5" i="7" s="1"/>
  <c r="AP73" i="7"/>
  <c r="BH73" i="7" s="1"/>
  <c r="AP6" i="7"/>
  <c r="BH6" i="7" s="1"/>
  <c r="AP7" i="7"/>
  <c r="BH7" i="7" s="1"/>
  <c r="AP74" i="7"/>
  <c r="BH74" i="7" s="1"/>
  <c r="AP8" i="7"/>
  <c r="BH8" i="7" s="1"/>
  <c r="AP9" i="7"/>
  <c r="BH9" i="7" s="1"/>
  <c r="AP75" i="7"/>
  <c r="BH75" i="7" s="1"/>
  <c r="AP10" i="7"/>
  <c r="BH10" i="7" s="1"/>
  <c r="AP11" i="7"/>
  <c r="BH11" i="7" s="1"/>
  <c r="AP76" i="7"/>
  <c r="BH76" i="7" s="1"/>
  <c r="AP12" i="7"/>
  <c r="BH12" i="7" s="1"/>
  <c r="AP13" i="7"/>
  <c r="BH13" i="7" s="1"/>
  <c r="AP77" i="7"/>
  <c r="BH77" i="7" s="1"/>
  <c r="AP14" i="7"/>
  <c r="BH14" i="7" s="1"/>
  <c r="AP15" i="7"/>
  <c r="BH15" i="7" s="1"/>
  <c r="AP78" i="7"/>
  <c r="BH78" i="7" s="1"/>
  <c r="AP16" i="7"/>
  <c r="BH16" i="7" s="1"/>
  <c r="AP17" i="7"/>
  <c r="BH17" i="7" s="1"/>
  <c r="AP79" i="7"/>
  <c r="BH79" i="7" s="1"/>
  <c r="AP18" i="7"/>
  <c r="BH18" i="7" s="1"/>
  <c r="AP19" i="7"/>
  <c r="BH19" i="7" s="1"/>
  <c r="AP80" i="7"/>
  <c r="BH80" i="7" s="1"/>
  <c r="AP20" i="7"/>
  <c r="BH20" i="7" s="1"/>
  <c r="AP21" i="7"/>
  <c r="BH21" i="7" s="1"/>
  <c r="AP81" i="7"/>
  <c r="BH81" i="7" s="1"/>
  <c r="AP22" i="7"/>
  <c r="BH22" i="7" s="1"/>
  <c r="AP23" i="7"/>
  <c r="BH23" i="7" s="1"/>
  <c r="AP82" i="7"/>
  <c r="BH82" i="7" s="1"/>
  <c r="AP24" i="7"/>
  <c r="BH24" i="7" s="1"/>
  <c r="AP83" i="7"/>
  <c r="BH83" i="7" s="1"/>
  <c r="AP25" i="7"/>
  <c r="BH25" i="7" s="1"/>
  <c r="AP26" i="7"/>
  <c r="BH26" i="7" s="1"/>
  <c r="AP84" i="7"/>
  <c r="BH84" i="7" s="1"/>
  <c r="AP27" i="7"/>
  <c r="BH27" i="7" s="1"/>
  <c r="AP28" i="7"/>
  <c r="BH28" i="7" s="1"/>
  <c r="AP85" i="7"/>
  <c r="BH85" i="7" s="1"/>
  <c r="AP29" i="7"/>
  <c r="BH29" i="7" s="1"/>
  <c r="AP30" i="7"/>
  <c r="BH30" i="7" s="1"/>
  <c r="AP86" i="7"/>
  <c r="BH86" i="7" s="1"/>
  <c r="AP31" i="7"/>
  <c r="BH31" i="7" s="1"/>
  <c r="AP32" i="7"/>
  <c r="BH32" i="7" s="1"/>
  <c r="AP87" i="7"/>
  <c r="BH87" i="7" s="1"/>
  <c r="AP33" i="7"/>
  <c r="BH33" i="7" s="1"/>
  <c r="AP34" i="7"/>
  <c r="BH34" i="7" s="1"/>
  <c r="AP88" i="7"/>
  <c r="BH88" i="7" s="1"/>
  <c r="AP35" i="7"/>
  <c r="BH35" i="7" s="1"/>
  <c r="AP89" i="7"/>
  <c r="BH89" i="7" s="1"/>
  <c r="AP36" i="7"/>
  <c r="BH36" i="7" s="1"/>
  <c r="AP37" i="7"/>
  <c r="BH37" i="7" s="1"/>
  <c r="AP90" i="7"/>
  <c r="BH90" i="7" s="1"/>
  <c r="AP38" i="7"/>
  <c r="BH38" i="7" s="1"/>
  <c r="AP91" i="7"/>
  <c r="BH91" i="7" s="1"/>
  <c r="AP39" i="7"/>
  <c r="BH39" i="7" s="1"/>
  <c r="AP92" i="7"/>
  <c r="BH92" i="7" s="1"/>
  <c r="AP40" i="7"/>
  <c r="BH40" i="7" s="1"/>
  <c r="AP93" i="7"/>
  <c r="BH93" i="7" s="1"/>
  <c r="AP47" i="7"/>
  <c r="BH47" i="7" s="1"/>
  <c r="AP94" i="7"/>
  <c r="BH94" i="7" s="1"/>
  <c r="AP41" i="7"/>
  <c r="BH41" i="7" s="1"/>
  <c r="AP95" i="7"/>
  <c r="BH95" i="7" s="1"/>
  <c r="AP42" i="7"/>
  <c r="BH42" i="7" s="1"/>
  <c r="AP96" i="7"/>
  <c r="BH96" i="7" s="1"/>
  <c r="AP43" i="7"/>
  <c r="BH43" i="7" s="1"/>
  <c r="AP97" i="7"/>
  <c r="BH97" i="7" s="1"/>
  <c r="AP44" i="7"/>
  <c r="BH44" i="7" s="1"/>
  <c r="AP98" i="7"/>
  <c r="BH98" i="7" s="1"/>
  <c r="AP45" i="7"/>
  <c r="BH45" i="7" s="1"/>
  <c r="AP99" i="7"/>
  <c r="BH99" i="7" s="1"/>
  <c r="AP46" i="7"/>
  <c r="BH46" i="7" s="1"/>
  <c r="AP4" i="7"/>
  <c r="BH4" i="7" s="1"/>
  <c r="AM46" i="7"/>
  <c r="BE46" i="7" s="1"/>
  <c r="AM72" i="7"/>
  <c r="BE72" i="7" s="1"/>
  <c r="AM7" i="7"/>
  <c r="BE7" i="7" s="1"/>
  <c r="AM6" i="7"/>
  <c r="BE6" i="7" s="1"/>
  <c r="AM98" i="7"/>
  <c r="BE98" i="7" s="1"/>
  <c r="AM73" i="7"/>
  <c r="BE73" i="7" s="1"/>
  <c r="AM5" i="7"/>
  <c r="BE5" i="7" s="1"/>
  <c r="AM54" i="7"/>
  <c r="BE54" i="7" s="1"/>
  <c r="AM45" i="7"/>
  <c r="BE45" i="7" s="1"/>
  <c r="AM74" i="7"/>
  <c r="BE74" i="7" s="1"/>
  <c r="AM44" i="7"/>
  <c r="BE44" i="7" s="1"/>
  <c r="AM97" i="7"/>
  <c r="BE97" i="7" s="1"/>
  <c r="AM55" i="7"/>
  <c r="BE55" i="7" s="1"/>
  <c r="AM75" i="7"/>
  <c r="BE75" i="7" s="1"/>
  <c r="AM43" i="7"/>
  <c r="BE43" i="7" s="1"/>
  <c r="AM42" i="7"/>
  <c r="BE42" i="7" s="1"/>
  <c r="AM4" i="7"/>
  <c r="BE4" i="7" s="1"/>
  <c r="AM76" i="7"/>
  <c r="BE76" i="7" s="1"/>
  <c r="AM56" i="7"/>
  <c r="BE56" i="7" s="1"/>
  <c r="AM40" i="7"/>
  <c r="BE40" i="7" s="1"/>
  <c r="AM39" i="7"/>
  <c r="BE39" i="7" s="1"/>
  <c r="AM77" i="7"/>
  <c r="BE77" i="7" s="1"/>
  <c r="AM50" i="7"/>
  <c r="BE50" i="7" s="1"/>
  <c r="AM57" i="7"/>
  <c r="BE57" i="7" s="1"/>
  <c r="AM38" i="7"/>
  <c r="BE38" i="7" s="1"/>
  <c r="AM78" i="7"/>
  <c r="BE78" i="7" s="1"/>
  <c r="AM37" i="7"/>
  <c r="BE37" i="7" s="1"/>
  <c r="AM96" i="7"/>
  <c r="BE96" i="7" s="1"/>
  <c r="AM58" i="7"/>
  <c r="BE58" i="7" s="1"/>
  <c r="AM79" i="7"/>
  <c r="BE79" i="7" s="1"/>
  <c r="AM36" i="7"/>
  <c r="BE36" i="7" s="1"/>
  <c r="AM35" i="7"/>
  <c r="BE35" i="7" s="1"/>
  <c r="AM95" i="7"/>
  <c r="BE95" i="7" s="1"/>
  <c r="AM80" i="7"/>
  <c r="BE80" i="7" s="1"/>
  <c r="AM59" i="7"/>
  <c r="BE59" i="7" s="1"/>
  <c r="AM34" i="7"/>
  <c r="BE34" i="7" s="1"/>
  <c r="AM33" i="7"/>
  <c r="BE33" i="7" s="1"/>
  <c r="AM81" i="7"/>
  <c r="BE81" i="7" s="1"/>
  <c r="AM41" i="7"/>
  <c r="BE41" i="7" s="1"/>
  <c r="AM60" i="7"/>
  <c r="BE60" i="7" s="1"/>
  <c r="AM32" i="7"/>
  <c r="BE32" i="7" s="1"/>
  <c r="AM82" i="7"/>
  <c r="BE82" i="7" s="1"/>
  <c r="AM31" i="7"/>
  <c r="BE31" i="7" s="1"/>
  <c r="AM99" i="7"/>
  <c r="BE99" i="7" s="1"/>
  <c r="AM61" i="7"/>
  <c r="BE61" i="7" s="1"/>
  <c r="AM83" i="7"/>
  <c r="BE83" i="7" s="1"/>
  <c r="AM30" i="7"/>
  <c r="BE30" i="7" s="1"/>
  <c r="AM17" i="7"/>
  <c r="BE17" i="7" s="1"/>
  <c r="AM29" i="7"/>
  <c r="BE29" i="7" s="1"/>
  <c r="AM84" i="7"/>
  <c r="BE84" i="7" s="1"/>
  <c r="AM51" i="7"/>
  <c r="BE51" i="7" s="1"/>
  <c r="AM62" i="7"/>
  <c r="BE62" i="7" s="1"/>
  <c r="AM28" i="7"/>
  <c r="BE28" i="7" s="1"/>
  <c r="AM85" i="7"/>
  <c r="BE85" i="7" s="1"/>
  <c r="AM27" i="7"/>
  <c r="BE27" i="7" s="1"/>
  <c r="AM94" i="7"/>
  <c r="BE94" i="7" s="1"/>
  <c r="AM63" i="7"/>
  <c r="BE63" i="7" s="1"/>
  <c r="AM86" i="7"/>
  <c r="BE86" i="7" s="1"/>
  <c r="AM26" i="7"/>
  <c r="BE26" i="7" s="1"/>
  <c r="AM25" i="7"/>
  <c r="BE25" i="7" s="1"/>
  <c r="AM93" i="7"/>
  <c r="BE93" i="7" s="1"/>
  <c r="AM87" i="7"/>
  <c r="BE87" i="7" s="1"/>
  <c r="AM64" i="7"/>
  <c r="BE64" i="7" s="1"/>
  <c r="AM24" i="7"/>
  <c r="BE24" i="7" s="1"/>
  <c r="AM23" i="7"/>
  <c r="BE23" i="7" s="1"/>
  <c r="AM88" i="7"/>
  <c r="BE88" i="7" s="1"/>
  <c r="AM48" i="7"/>
  <c r="BE48" i="7" s="1"/>
  <c r="AM65" i="7"/>
  <c r="BE65" i="7" s="1"/>
  <c r="AM22" i="7"/>
  <c r="BE22" i="7" s="1"/>
  <c r="AM89" i="7"/>
  <c r="BE89" i="7" s="1"/>
  <c r="AM21" i="7"/>
  <c r="BE21" i="7" s="1"/>
  <c r="AM52" i="7"/>
  <c r="BE52" i="7" s="1"/>
  <c r="AM66" i="7"/>
  <c r="BE66" i="7" s="1"/>
  <c r="AM20" i="7"/>
  <c r="BE20" i="7" s="1"/>
  <c r="AM19" i="7"/>
  <c r="BE19" i="7" s="1"/>
  <c r="AM91" i="7"/>
  <c r="BE91" i="7" s="1"/>
  <c r="AM92" i="7"/>
  <c r="BE92" i="7" s="1"/>
  <c r="AM67" i="7"/>
  <c r="BE67" i="7" s="1"/>
  <c r="AM18" i="7"/>
  <c r="BE18" i="7" s="1"/>
  <c r="AM16" i="7"/>
  <c r="BE16" i="7" s="1"/>
  <c r="AM90" i="7"/>
  <c r="BE90" i="7" s="1"/>
  <c r="AM68" i="7"/>
  <c r="BE68" i="7" s="1"/>
  <c r="AM15" i="7"/>
  <c r="BE15" i="7" s="1"/>
  <c r="AM14" i="7"/>
  <c r="BE14" i="7" s="1"/>
  <c r="AM49" i="7"/>
  <c r="BE49" i="7" s="1"/>
  <c r="AM69" i="7"/>
  <c r="BE69" i="7" s="1"/>
  <c r="AM13" i="7"/>
  <c r="BE13" i="7" s="1"/>
  <c r="AM12" i="7"/>
  <c r="BE12" i="7" s="1"/>
  <c r="AM53" i="7"/>
  <c r="BE53" i="7" s="1"/>
  <c r="AM70" i="7"/>
  <c r="BE70" i="7" s="1"/>
  <c r="AM11" i="7"/>
  <c r="BE11" i="7" s="1"/>
  <c r="AM10" i="7"/>
  <c r="BE10" i="7" s="1"/>
  <c r="AM47" i="7"/>
  <c r="BE47" i="7" s="1"/>
  <c r="AM71" i="7"/>
  <c r="BE71" i="7" s="1"/>
  <c r="AM9" i="7"/>
  <c r="BE9" i="7" s="1"/>
  <c r="AM8" i="7"/>
  <c r="BE8" i="7" s="1"/>
  <c r="W40" i="7" l="1"/>
  <c r="CF24" i="7"/>
  <c r="V40" i="7"/>
  <c r="CJ4" i="7"/>
  <c r="CB18" i="7"/>
  <c r="BX18" i="7"/>
  <c r="BX6" i="7"/>
  <c r="CB6" i="7"/>
  <c r="BX7" i="7"/>
  <c r="CB7" i="7"/>
  <c r="CB19" i="7"/>
  <c r="BX19" i="7"/>
  <c r="CB8" i="7"/>
  <c r="BX8" i="7"/>
  <c r="CB9" i="7"/>
  <c r="BX9" i="7"/>
  <c r="BX20" i="7"/>
  <c r="CB20" i="7"/>
  <c r="CB10" i="7"/>
  <c r="BX10" i="7"/>
  <c r="BX11" i="7"/>
  <c r="CB11" i="7"/>
  <c r="BX12" i="7"/>
  <c r="CB12" i="7"/>
  <c r="BX5" i="7"/>
  <c r="CB5" i="7"/>
  <c r="BX13" i="7"/>
  <c r="CB13" i="7"/>
  <c r="CB14" i="7"/>
  <c r="BX14" i="7"/>
  <c r="BX15" i="7"/>
  <c r="CB15" i="7"/>
  <c r="CB16" i="7"/>
  <c r="BX16" i="7"/>
  <c r="BX17" i="7"/>
  <c r="CB17" i="7"/>
  <c r="BW6" i="7"/>
  <c r="CA6" i="7"/>
  <c r="BW7" i="7"/>
  <c r="CA7" i="7"/>
  <c r="CA8" i="7"/>
  <c r="BW8" i="7"/>
  <c r="BW9" i="7"/>
  <c r="CA9" i="7"/>
  <c r="BW10" i="7"/>
  <c r="CA10" i="7"/>
  <c r="BW11" i="7"/>
  <c r="CA11" i="7"/>
  <c r="CA12" i="7"/>
  <c r="BW12" i="7"/>
  <c r="CA13" i="7"/>
  <c r="BW13" i="7"/>
  <c r="BW14" i="7"/>
  <c r="CA14" i="7"/>
  <c r="CA15" i="7"/>
  <c r="BW15" i="7"/>
  <c r="CA16" i="7"/>
  <c r="BW16" i="7"/>
  <c r="BW17" i="7"/>
  <c r="CA17" i="7"/>
  <c r="CA18" i="7"/>
  <c r="BW18" i="7"/>
  <c r="BW19" i="7"/>
  <c r="CA19" i="7"/>
  <c r="CA20" i="7"/>
  <c r="BW20" i="7"/>
  <c r="CA5" i="7"/>
  <c r="BW5" i="7"/>
  <c r="BY6" i="7"/>
  <c r="CC6" i="7"/>
  <c r="BY7" i="7"/>
  <c r="CC7" i="7"/>
  <c r="CC8" i="7"/>
  <c r="BY8" i="7"/>
  <c r="BY9" i="7"/>
  <c r="CC9" i="7"/>
  <c r="CC10" i="7"/>
  <c r="BY10" i="7"/>
  <c r="BY11" i="7"/>
  <c r="CC11" i="7"/>
  <c r="BY12" i="7"/>
  <c r="CC12" i="7"/>
  <c r="CC13" i="7"/>
  <c r="BY13" i="7"/>
  <c r="BY14" i="7"/>
  <c r="CC14" i="7"/>
  <c r="CC15" i="7"/>
  <c r="BY15" i="7"/>
  <c r="CC16" i="7"/>
  <c r="BY16" i="7"/>
  <c r="BY17" i="7"/>
  <c r="CC17" i="7"/>
  <c r="BY18" i="7"/>
  <c r="CC18" i="7"/>
  <c r="BY19" i="7"/>
  <c r="CC19" i="7"/>
  <c r="BY20" i="7"/>
  <c r="CC20" i="7"/>
  <c r="BY5" i="7"/>
  <c r="CC5" i="7"/>
  <c r="BZ8" i="7"/>
  <c r="BV8" i="7"/>
  <c r="BV7" i="7"/>
  <c r="BZ7" i="7"/>
  <c r="BZ6" i="7"/>
  <c r="BV6" i="7"/>
  <c r="BZ5" i="7"/>
  <c r="BV5" i="7"/>
  <c r="BZ18" i="7"/>
  <c r="BV18" i="7"/>
  <c r="BZ20" i="7"/>
  <c r="BV20" i="7"/>
  <c r="BZ19" i="7"/>
  <c r="BV19" i="7"/>
  <c r="BV17" i="7"/>
  <c r="BZ17" i="7"/>
  <c r="BV16" i="7"/>
  <c r="BZ16" i="7"/>
  <c r="BZ15" i="7"/>
  <c r="BV15" i="7"/>
  <c r="BZ14" i="7"/>
  <c r="BV14" i="7"/>
  <c r="BV13" i="7"/>
  <c r="BZ13" i="7"/>
  <c r="BZ12" i="7"/>
  <c r="BV12" i="7"/>
  <c r="BV11" i="7"/>
  <c r="BZ11" i="7"/>
  <c r="BV10" i="7"/>
  <c r="BZ10" i="7"/>
  <c r="BV9" i="7"/>
  <c r="BZ9" i="7"/>
  <c r="U40" i="7"/>
  <c r="X40" i="7"/>
  <c r="BR5" i="7"/>
  <c r="BN5" i="7"/>
  <c r="BN18" i="7"/>
  <c r="BR18" i="7"/>
  <c r="BR6" i="7"/>
  <c r="BN6" i="7"/>
  <c r="BN20" i="7"/>
  <c r="BR20" i="7"/>
  <c r="BN19" i="7"/>
  <c r="BR19" i="7"/>
  <c r="BN17" i="7"/>
  <c r="BR17" i="7"/>
  <c r="BR16" i="7"/>
  <c r="BN16" i="7"/>
  <c r="BN15" i="7"/>
  <c r="BR15" i="7"/>
  <c r="BR14" i="7"/>
  <c r="BN14" i="7"/>
  <c r="BN13" i="7"/>
  <c r="BR13" i="7"/>
  <c r="BR12" i="7"/>
  <c r="BN12" i="7"/>
  <c r="BR11" i="7"/>
  <c r="BN11" i="7"/>
  <c r="BN9" i="7"/>
  <c r="BR9" i="7"/>
  <c r="BN8" i="7"/>
  <c r="BR8" i="7"/>
  <c r="BN7" i="7"/>
  <c r="BR7" i="7"/>
  <c r="BN10" i="7"/>
  <c r="BR10" i="7"/>
  <c r="BM13" i="7"/>
  <c r="BQ13" i="7"/>
  <c r="BQ16" i="7"/>
  <c r="BM16" i="7"/>
  <c r="BM17" i="7"/>
  <c r="BQ17" i="7"/>
  <c r="BM19" i="7"/>
  <c r="BQ19" i="7"/>
  <c r="BM9" i="7"/>
  <c r="BQ9" i="7"/>
  <c r="BM10" i="7"/>
  <c r="BQ10" i="7"/>
  <c r="BM20" i="7"/>
  <c r="BQ20" i="7"/>
  <c r="BM18" i="7"/>
  <c r="BQ18" i="7"/>
  <c r="BQ5" i="7"/>
  <c r="BM5" i="7"/>
  <c r="BM7" i="7"/>
  <c r="BQ7" i="7"/>
  <c r="BM8" i="7"/>
  <c r="BQ8" i="7"/>
  <c r="BM11" i="7"/>
  <c r="BQ11" i="7"/>
  <c r="BM12" i="7"/>
  <c r="BQ12" i="7"/>
  <c r="BM14" i="7"/>
  <c r="BQ14" i="7"/>
  <c r="BM15" i="7"/>
  <c r="BQ15" i="7"/>
  <c r="BM6" i="7"/>
  <c r="BQ6" i="7"/>
  <c r="BP15" i="7"/>
  <c r="BL15" i="7"/>
  <c r="BP11" i="7"/>
  <c r="BL11" i="7"/>
  <c r="BP10" i="7"/>
  <c r="BL10" i="7"/>
  <c r="BP12" i="7"/>
  <c r="BL12" i="7"/>
  <c r="BL20" i="7"/>
  <c r="BP20" i="7"/>
  <c r="BL17" i="7"/>
  <c r="BP17" i="7"/>
  <c r="BP16" i="7"/>
  <c r="BL16" i="7"/>
  <c r="BL13" i="7"/>
  <c r="BP13" i="7"/>
  <c r="BL5" i="7"/>
  <c r="BP5" i="7"/>
  <c r="BL19" i="7"/>
  <c r="BP19" i="7"/>
  <c r="BL18" i="7"/>
  <c r="BP18" i="7"/>
  <c r="BL14" i="7"/>
  <c r="BP14" i="7"/>
  <c r="BL9" i="7"/>
  <c r="BP9" i="7"/>
  <c r="BL8" i="7"/>
  <c r="BP8" i="7"/>
  <c r="BL7" i="7"/>
  <c r="BP7" i="7"/>
  <c r="BL6" i="7"/>
  <c r="BP6" i="7"/>
  <c r="BK13" i="7"/>
  <c r="BO13" i="7"/>
  <c r="BK7" i="7"/>
  <c r="BO7" i="7"/>
  <c r="BK5" i="7"/>
  <c r="BO5" i="7"/>
  <c r="BO20" i="7"/>
  <c r="BK20" i="7"/>
  <c r="BO15" i="7"/>
  <c r="BK15" i="7"/>
  <c r="BK14" i="7"/>
  <c r="BO14" i="7"/>
  <c r="BK10" i="7"/>
  <c r="BO10" i="7"/>
  <c r="BO9" i="7"/>
  <c r="BK9" i="7"/>
  <c r="BO8" i="7"/>
  <c r="BK8" i="7"/>
  <c r="BO19" i="7"/>
  <c r="BK19" i="7"/>
  <c r="BK17" i="7"/>
  <c r="BO17" i="7"/>
  <c r="BO18" i="7"/>
  <c r="BK18" i="7"/>
  <c r="BO12" i="7"/>
  <c r="BK12" i="7"/>
  <c r="BO11" i="7"/>
  <c r="BK11" i="7"/>
  <c r="BO16" i="7"/>
  <c r="BK16" i="7"/>
  <c r="BO6" i="7"/>
  <c r="BK6" i="7"/>
  <c r="BR23" i="7" l="1"/>
  <c r="CK27" i="7" s="1"/>
  <c r="CU23" i="7" s="1"/>
  <c r="BN41" i="7"/>
  <c r="CL27" i="7" s="1"/>
  <c r="CV23" i="7" s="1"/>
  <c r="BR41" i="7"/>
  <c r="CM27" i="7" s="1"/>
  <c r="CW23" i="7" s="1"/>
  <c r="BN23" i="7"/>
  <c r="CJ27" i="7" s="1"/>
  <c r="CT23" i="7" s="1"/>
  <c r="BN36" i="7"/>
  <c r="CJ40" i="7" s="1"/>
  <c r="CT36" i="7" s="1"/>
  <c r="BR54" i="7"/>
  <c r="CM40" i="7" s="1"/>
  <c r="CW36" i="7" s="1"/>
  <c r="BR36" i="7"/>
  <c r="CK40" i="7" s="1"/>
  <c r="CU36" i="7" s="1"/>
  <c r="BN54" i="7"/>
  <c r="CL40" i="7" s="1"/>
  <c r="CV36" i="7" s="1"/>
  <c r="BR24" i="7"/>
  <c r="CK28" i="7" s="1"/>
  <c r="CU24" i="7" s="1"/>
  <c r="BN42" i="7"/>
  <c r="CL28" i="7" s="1"/>
  <c r="CV24" i="7" s="1"/>
  <c r="BR42" i="7"/>
  <c r="CM28" i="7" s="1"/>
  <c r="CW24" i="7" s="1"/>
  <c r="BN24" i="7"/>
  <c r="CJ28" i="7" s="1"/>
  <c r="CT24" i="7" s="1"/>
  <c r="BN38" i="7"/>
  <c r="CJ42" i="7" s="1"/>
  <c r="CT38" i="7" s="1"/>
  <c r="BR56" i="7"/>
  <c r="CM42" i="7" s="1"/>
  <c r="CW38" i="7" s="1"/>
  <c r="BR38" i="7"/>
  <c r="CK42" i="7" s="1"/>
  <c r="CU38" i="7" s="1"/>
  <c r="BN56" i="7"/>
  <c r="CL42" i="7" s="1"/>
  <c r="CV38" i="7" s="1"/>
  <c r="BN37" i="7"/>
  <c r="CJ41" i="7" s="1"/>
  <c r="CT37" i="7" s="1"/>
  <c r="BR55" i="7"/>
  <c r="CM41" i="7" s="1"/>
  <c r="CW37" i="7" s="1"/>
  <c r="BR37" i="7"/>
  <c r="CK41" i="7" s="1"/>
  <c r="CU37" i="7" s="1"/>
  <c r="BN55" i="7"/>
  <c r="CL41" i="7" s="1"/>
  <c r="CV37" i="7" s="1"/>
  <c r="BN35" i="7"/>
  <c r="CJ39" i="7" s="1"/>
  <c r="CT35" i="7" s="1"/>
  <c r="BR53" i="7"/>
  <c r="CM39" i="7" s="1"/>
  <c r="CW35" i="7" s="1"/>
  <c r="BR35" i="7"/>
  <c r="CK39" i="7" s="1"/>
  <c r="CU35" i="7" s="1"/>
  <c r="BN53" i="7"/>
  <c r="CL39" i="7" s="1"/>
  <c r="CV35" i="7" s="1"/>
  <c r="BR34" i="7"/>
  <c r="CK38" i="7" s="1"/>
  <c r="CU34" i="7" s="1"/>
  <c r="BN52" i="7"/>
  <c r="CL38" i="7" s="1"/>
  <c r="CV34" i="7" s="1"/>
  <c r="BN34" i="7"/>
  <c r="CJ38" i="7" s="1"/>
  <c r="CT34" i="7" s="1"/>
  <c r="BR52" i="7"/>
  <c r="CM38" i="7" s="1"/>
  <c r="CW34" i="7" s="1"/>
  <c r="BN33" i="7"/>
  <c r="CJ37" i="7" s="1"/>
  <c r="CT33" i="7" s="1"/>
  <c r="BR51" i="7"/>
  <c r="CM37" i="7" s="1"/>
  <c r="CW33" i="7" s="1"/>
  <c r="BR33" i="7"/>
  <c r="CK37" i="7" s="1"/>
  <c r="CU33" i="7" s="1"/>
  <c r="BN51" i="7"/>
  <c r="CL37" i="7" s="1"/>
  <c r="CV33" i="7" s="1"/>
  <c r="BR32" i="7"/>
  <c r="CK36" i="7" s="1"/>
  <c r="CU32" i="7" s="1"/>
  <c r="BN50" i="7"/>
  <c r="CL36" i="7" s="1"/>
  <c r="CV32" i="7" s="1"/>
  <c r="BN32" i="7"/>
  <c r="CJ36" i="7" s="1"/>
  <c r="CT32" i="7" s="1"/>
  <c r="BR50" i="7"/>
  <c r="CM36" i="7" s="1"/>
  <c r="CW32" i="7" s="1"/>
  <c r="BN31" i="7"/>
  <c r="CJ35" i="7" s="1"/>
  <c r="CT31" i="7" s="1"/>
  <c r="BR49" i="7"/>
  <c r="CM35" i="7" s="1"/>
  <c r="CW31" i="7" s="1"/>
  <c r="BR31" i="7"/>
  <c r="CK35" i="7" s="1"/>
  <c r="CU31" i="7" s="1"/>
  <c r="BN49" i="7"/>
  <c r="CL35" i="7" s="1"/>
  <c r="CV31" i="7" s="1"/>
  <c r="BR30" i="7"/>
  <c r="CK34" i="7" s="1"/>
  <c r="CU30" i="7" s="1"/>
  <c r="BN48" i="7"/>
  <c r="CL34" i="7" s="1"/>
  <c r="CV30" i="7" s="1"/>
  <c r="BN30" i="7"/>
  <c r="CJ34" i="7" s="1"/>
  <c r="CT30" i="7" s="1"/>
  <c r="BR48" i="7"/>
  <c r="CM34" i="7" s="1"/>
  <c r="CW30" i="7" s="1"/>
  <c r="BR29" i="7"/>
  <c r="CK33" i="7" s="1"/>
  <c r="CU29" i="7" s="1"/>
  <c r="BN47" i="7"/>
  <c r="CL33" i="7" s="1"/>
  <c r="CV29" i="7" s="1"/>
  <c r="BN29" i="7"/>
  <c r="CJ33" i="7" s="1"/>
  <c r="CT29" i="7" s="1"/>
  <c r="BR47" i="7"/>
  <c r="CM33" i="7" s="1"/>
  <c r="CW29" i="7" s="1"/>
  <c r="BN27" i="7"/>
  <c r="CJ31" i="7" s="1"/>
  <c r="CT27" i="7" s="1"/>
  <c r="BR45" i="7"/>
  <c r="CM31" i="7" s="1"/>
  <c r="CW27" i="7" s="1"/>
  <c r="BR27" i="7"/>
  <c r="CK31" i="7" s="1"/>
  <c r="CU27" i="7" s="1"/>
  <c r="BN45" i="7"/>
  <c r="CL31" i="7" s="1"/>
  <c r="CV27" i="7" s="1"/>
  <c r="BN26" i="7"/>
  <c r="CJ30" i="7" s="1"/>
  <c r="CT26" i="7" s="1"/>
  <c r="BR44" i="7"/>
  <c r="CM30" i="7" s="1"/>
  <c r="CW26" i="7" s="1"/>
  <c r="BR26" i="7"/>
  <c r="CK30" i="7" s="1"/>
  <c r="CU26" i="7" s="1"/>
  <c r="BN44" i="7"/>
  <c r="CL30" i="7" s="1"/>
  <c r="CV26" i="7" s="1"/>
  <c r="BN25" i="7"/>
  <c r="CJ29" i="7" s="1"/>
  <c r="CT25" i="7" s="1"/>
  <c r="BR43" i="7"/>
  <c r="CM29" i="7" s="1"/>
  <c r="CW25" i="7" s="1"/>
  <c r="BR25" i="7"/>
  <c r="CK29" i="7" s="1"/>
  <c r="CU25" i="7" s="1"/>
  <c r="BN43" i="7"/>
  <c r="CL29" i="7" s="1"/>
  <c r="CV25" i="7" s="1"/>
  <c r="BN28" i="7"/>
  <c r="CJ32" i="7" s="1"/>
  <c r="CT28" i="7" s="1"/>
  <c r="BR46" i="7"/>
  <c r="CM32" i="7" s="1"/>
  <c r="CW28" i="7" s="1"/>
  <c r="BR28" i="7"/>
  <c r="CK32" i="7" s="1"/>
  <c r="CU28" i="7" s="1"/>
  <c r="BN46" i="7"/>
  <c r="CL32" i="7" s="1"/>
  <c r="CV28" i="7" s="1"/>
  <c r="BM31" i="7"/>
  <c r="CF35" i="7" s="1"/>
  <c r="CP31" i="7" s="1"/>
  <c r="BQ49" i="7"/>
  <c r="CI35" i="7" s="1"/>
  <c r="CS31" i="7" s="1"/>
  <c r="BQ31" i="7"/>
  <c r="CG35" i="7" s="1"/>
  <c r="CQ31" i="7" s="1"/>
  <c r="BM49" i="7"/>
  <c r="CH35" i="7" s="1"/>
  <c r="CR31" i="7" s="1"/>
  <c r="BQ34" i="7"/>
  <c r="CG38" i="7" s="1"/>
  <c r="CQ34" i="7" s="1"/>
  <c r="BM52" i="7"/>
  <c r="CH38" i="7" s="1"/>
  <c r="CR34" i="7" s="1"/>
  <c r="BM34" i="7"/>
  <c r="CF38" i="7" s="1"/>
  <c r="CP34" i="7" s="1"/>
  <c r="BQ52" i="7"/>
  <c r="CI38" i="7" s="1"/>
  <c r="CS34" i="7" s="1"/>
  <c r="BM35" i="7"/>
  <c r="CF39" i="7" s="1"/>
  <c r="CP35" i="7" s="1"/>
  <c r="BQ53" i="7"/>
  <c r="CI39" i="7" s="1"/>
  <c r="CS35" i="7" s="1"/>
  <c r="BQ35" i="7"/>
  <c r="CG39" i="7" s="1"/>
  <c r="CQ35" i="7" s="1"/>
  <c r="BM53" i="7"/>
  <c r="CH39" i="7" s="1"/>
  <c r="CR35" i="7" s="1"/>
  <c r="BM37" i="7"/>
  <c r="CF41" i="7" s="1"/>
  <c r="CP37" i="7" s="1"/>
  <c r="BQ55" i="7"/>
  <c r="CI41" i="7" s="1"/>
  <c r="CS37" i="7" s="1"/>
  <c r="BQ37" i="7"/>
  <c r="CG41" i="7" s="1"/>
  <c r="CQ37" i="7" s="1"/>
  <c r="BM55" i="7"/>
  <c r="CH41" i="7" s="1"/>
  <c r="CR37" i="7" s="1"/>
  <c r="BM27" i="7"/>
  <c r="CF31" i="7" s="1"/>
  <c r="CP27" i="7" s="1"/>
  <c r="BQ45" i="7"/>
  <c r="CI31" i="7" s="1"/>
  <c r="CS27" i="7" s="1"/>
  <c r="BQ27" i="7"/>
  <c r="CG31" i="7" s="1"/>
  <c r="CQ27" i="7" s="1"/>
  <c r="BM45" i="7"/>
  <c r="CH31" i="7" s="1"/>
  <c r="CR27" i="7" s="1"/>
  <c r="BQ46" i="7"/>
  <c r="CI32" i="7" s="1"/>
  <c r="CS28" i="7" s="1"/>
  <c r="BM28" i="7"/>
  <c r="CF32" i="7" s="1"/>
  <c r="CP28" i="7" s="1"/>
  <c r="BQ28" i="7"/>
  <c r="CG32" i="7" s="1"/>
  <c r="CQ28" i="7" s="1"/>
  <c r="BM46" i="7"/>
  <c r="CH32" i="7" s="1"/>
  <c r="CR28" i="7" s="1"/>
  <c r="BM38" i="7"/>
  <c r="CF42" i="7" s="1"/>
  <c r="CP38" i="7" s="1"/>
  <c r="BQ56" i="7"/>
  <c r="CI42" i="7" s="1"/>
  <c r="CS38" i="7" s="1"/>
  <c r="BQ38" i="7"/>
  <c r="CG42" i="7" s="1"/>
  <c r="CQ38" i="7" s="1"/>
  <c r="BM56" i="7"/>
  <c r="CH42" i="7" s="1"/>
  <c r="CR38" i="7" s="1"/>
  <c r="BM36" i="7"/>
  <c r="CF40" i="7" s="1"/>
  <c r="CP36" i="7" s="1"/>
  <c r="BQ54" i="7"/>
  <c r="CI40" i="7" s="1"/>
  <c r="CS36" i="7" s="1"/>
  <c r="BQ36" i="7"/>
  <c r="CG40" i="7" s="1"/>
  <c r="CQ36" i="7" s="1"/>
  <c r="BM54" i="7"/>
  <c r="CH40" i="7" s="1"/>
  <c r="CR36" i="7" s="1"/>
  <c r="BM41" i="7"/>
  <c r="CH27" i="7" s="1"/>
  <c r="CR23" i="7" s="1"/>
  <c r="BQ23" i="7"/>
  <c r="CG27" i="7" s="1"/>
  <c r="CQ23" i="7" s="1"/>
  <c r="BM23" i="7"/>
  <c r="CF27" i="7" s="1"/>
  <c r="CP23" i="7" s="1"/>
  <c r="BQ41" i="7"/>
  <c r="CI27" i="7" s="1"/>
  <c r="CS23" i="7" s="1"/>
  <c r="BQ43" i="7"/>
  <c r="CI29" i="7" s="1"/>
  <c r="CS25" i="7" s="1"/>
  <c r="BM25" i="7"/>
  <c r="CF29" i="7" s="1"/>
  <c r="CP25" i="7" s="1"/>
  <c r="BQ25" i="7"/>
  <c r="CG29" i="7" s="1"/>
  <c r="CQ25" i="7" s="1"/>
  <c r="BM43" i="7"/>
  <c r="CH29" i="7" s="1"/>
  <c r="CR25" i="7" s="1"/>
  <c r="BQ44" i="7"/>
  <c r="CI30" i="7" s="1"/>
  <c r="CS26" i="7" s="1"/>
  <c r="BM26" i="7"/>
  <c r="CF30" i="7" s="1"/>
  <c r="CP26" i="7" s="1"/>
  <c r="BM44" i="7"/>
  <c r="CH30" i="7" s="1"/>
  <c r="CR26" i="7" s="1"/>
  <c r="BQ26" i="7"/>
  <c r="CG30" i="7" s="1"/>
  <c r="CQ26" i="7" s="1"/>
  <c r="BQ47" i="7"/>
  <c r="CI33" i="7" s="1"/>
  <c r="CS29" i="7" s="1"/>
  <c r="BM29" i="7"/>
  <c r="CF33" i="7" s="1"/>
  <c r="CP29" i="7" s="1"/>
  <c r="BQ29" i="7"/>
  <c r="CG33" i="7" s="1"/>
  <c r="CQ29" i="7" s="1"/>
  <c r="BM47" i="7"/>
  <c r="CH33" i="7" s="1"/>
  <c r="CR29" i="7" s="1"/>
  <c r="BQ48" i="7"/>
  <c r="CI34" i="7" s="1"/>
  <c r="CS30" i="7" s="1"/>
  <c r="BM30" i="7"/>
  <c r="CF34" i="7" s="1"/>
  <c r="CP30" i="7" s="1"/>
  <c r="BQ30" i="7"/>
  <c r="CG34" i="7" s="1"/>
  <c r="CQ30" i="7" s="1"/>
  <c r="BM48" i="7"/>
  <c r="CH34" i="7" s="1"/>
  <c r="CR30" i="7" s="1"/>
  <c r="BM32" i="7"/>
  <c r="CF36" i="7" s="1"/>
  <c r="CP32" i="7" s="1"/>
  <c r="BQ50" i="7"/>
  <c r="CI36" i="7" s="1"/>
  <c r="CS32" i="7" s="1"/>
  <c r="BQ32" i="7"/>
  <c r="CG36" i="7" s="1"/>
  <c r="CQ32" i="7" s="1"/>
  <c r="BM50" i="7"/>
  <c r="CH36" i="7" s="1"/>
  <c r="CR32" i="7" s="1"/>
  <c r="BM33" i="7"/>
  <c r="CF37" i="7" s="1"/>
  <c r="CP33" i="7" s="1"/>
  <c r="BQ51" i="7"/>
  <c r="CI37" i="7" s="1"/>
  <c r="CS33" i="7" s="1"/>
  <c r="BQ33" i="7"/>
  <c r="CG37" i="7" s="1"/>
  <c r="CQ33" i="7" s="1"/>
  <c r="BM51" i="7"/>
  <c r="CH37" i="7" s="1"/>
  <c r="CR33" i="7" s="1"/>
  <c r="BQ42" i="7"/>
  <c r="CI28" i="7" s="1"/>
  <c r="CS24" i="7" s="1"/>
  <c r="BM24" i="7"/>
  <c r="CF28" i="7" s="1"/>
  <c r="CP24" i="7" s="1"/>
  <c r="BM42" i="7"/>
  <c r="CH28" i="7" s="1"/>
  <c r="CR24" i="7" s="1"/>
  <c r="BQ24" i="7"/>
  <c r="CG28" i="7" s="1"/>
  <c r="CQ24" i="7" s="1"/>
  <c r="BP33" i="7"/>
  <c r="CK17" i="7" s="1"/>
  <c r="CU16" i="7" s="1"/>
  <c r="BL51" i="7"/>
  <c r="CL17" i="7" s="1"/>
  <c r="CV16" i="7" s="1"/>
  <c r="BL33" i="7"/>
  <c r="CJ17" i="7" s="1"/>
  <c r="CT16" i="7" s="1"/>
  <c r="BP51" i="7"/>
  <c r="CM17" i="7" s="1"/>
  <c r="CW16" i="7" s="1"/>
  <c r="BL47" i="7"/>
  <c r="CL13" i="7" s="1"/>
  <c r="CV12" i="7" s="1"/>
  <c r="BP29" i="7"/>
  <c r="CK13" i="7" s="1"/>
  <c r="CU12" i="7" s="1"/>
  <c r="BL29" i="7"/>
  <c r="CJ13" i="7" s="1"/>
  <c r="CT12" i="7" s="1"/>
  <c r="BP47" i="7"/>
  <c r="CM13" i="7" s="1"/>
  <c r="CW12" i="7" s="1"/>
  <c r="BL46" i="7"/>
  <c r="CL12" i="7" s="1"/>
  <c r="CV11" i="7" s="1"/>
  <c r="BP28" i="7"/>
  <c r="CK12" i="7" s="1"/>
  <c r="CU11" i="7" s="1"/>
  <c r="BL28" i="7"/>
  <c r="CJ12" i="7" s="1"/>
  <c r="CT11" i="7" s="1"/>
  <c r="BP46" i="7"/>
  <c r="CM12" i="7" s="1"/>
  <c r="CW11" i="7" s="1"/>
  <c r="BP30" i="7"/>
  <c r="CK14" i="7" s="1"/>
  <c r="CU13" i="7" s="1"/>
  <c r="BL48" i="7"/>
  <c r="CL14" i="7" s="1"/>
  <c r="CV13" i="7" s="1"/>
  <c r="BL30" i="7"/>
  <c r="CJ14" i="7" s="1"/>
  <c r="CT13" i="7" s="1"/>
  <c r="BP48" i="7"/>
  <c r="CM14" i="7" s="1"/>
  <c r="CW13" i="7" s="1"/>
  <c r="BL38" i="7"/>
  <c r="CJ22" i="7" s="1"/>
  <c r="CT21" i="7" s="1"/>
  <c r="BP56" i="7"/>
  <c r="CM22" i="7" s="1"/>
  <c r="CW21" i="7" s="1"/>
  <c r="BP38" i="7"/>
  <c r="CK22" i="7" s="1"/>
  <c r="CU21" i="7" s="1"/>
  <c r="BL56" i="7"/>
  <c r="CL22" i="7" s="1"/>
  <c r="CV21" i="7" s="1"/>
  <c r="BL35" i="7"/>
  <c r="CJ19" i="7" s="1"/>
  <c r="CT18" i="7" s="1"/>
  <c r="BP53" i="7"/>
  <c r="CM19" i="7" s="1"/>
  <c r="CW18" i="7" s="1"/>
  <c r="BP35" i="7"/>
  <c r="CK19" i="7" s="1"/>
  <c r="CU18" i="7" s="1"/>
  <c r="BL53" i="7"/>
  <c r="CL19" i="7" s="1"/>
  <c r="CV18" i="7" s="1"/>
  <c r="BP34" i="7"/>
  <c r="CK18" i="7" s="1"/>
  <c r="CU17" i="7" s="1"/>
  <c r="BL52" i="7"/>
  <c r="CL18" i="7" s="1"/>
  <c r="CV17" i="7" s="1"/>
  <c r="BL34" i="7"/>
  <c r="CJ18" i="7" s="1"/>
  <c r="CT17" i="7" s="1"/>
  <c r="BP52" i="7"/>
  <c r="CM18" i="7" s="1"/>
  <c r="CW17" i="7" s="1"/>
  <c r="BL31" i="7"/>
  <c r="CJ15" i="7" s="1"/>
  <c r="CT14" i="7" s="1"/>
  <c r="BP49" i="7"/>
  <c r="CM15" i="7" s="1"/>
  <c r="CW14" i="7" s="1"/>
  <c r="BP31" i="7"/>
  <c r="CK15" i="7" s="1"/>
  <c r="CU14" i="7" s="1"/>
  <c r="BL49" i="7"/>
  <c r="CL15" i="7" s="1"/>
  <c r="CV14" i="7" s="1"/>
  <c r="BP41" i="7"/>
  <c r="CM7" i="7" s="1"/>
  <c r="CW6" i="7" s="1"/>
  <c r="BL23" i="7"/>
  <c r="CJ7" i="7" s="1"/>
  <c r="CT6" i="7" s="1"/>
  <c r="BP23" i="7"/>
  <c r="CK7" i="7" s="1"/>
  <c r="CU6" i="7" s="1"/>
  <c r="BL41" i="7"/>
  <c r="CL7" i="7" s="1"/>
  <c r="CV6" i="7" s="1"/>
  <c r="BL37" i="7"/>
  <c r="CJ21" i="7" s="1"/>
  <c r="CT20" i="7" s="1"/>
  <c r="BP55" i="7"/>
  <c r="CM21" i="7" s="1"/>
  <c r="CW20" i="7" s="1"/>
  <c r="BP37" i="7"/>
  <c r="CK21" i="7" s="1"/>
  <c r="CU20" i="7" s="1"/>
  <c r="BL55" i="7"/>
  <c r="CL21" i="7" s="1"/>
  <c r="CV20" i="7" s="1"/>
  <c r="BL36" i="7"/>
  <c r="CJ20" i="7" s="1"/>
  <c r="CT19" i="7" s="1"/>
  <c r="BP54" i="7"/>
  <c r="CM20" i="7" s="1"/>
  <c r="CW19" i="7" s="1"/>
  <c r="BP36" i="7"/>
  <c r="CK20" i="7" s="1"/>
  <c r="CU19" i="7" s="1"/>
  <c r="BL54" i="7"/>
  <c r="CL20" i="7" s="1"/>
  <c r="CV19" i="7" s="1"/>
  <c r="BL32" i="7"/>
  <c r="CJ16" i="7" s="1"/>
  <c r="CT15" i="7" s="1"/>
  <c r="BP50" i="7"/>
  <c r="CM16" i="7" s="1"/>
  <c r="CW15" i="7" s="1"/>
  <c r="BP32" i="7"/>
  <c r="CK16" i="7" s="1"/>
  <c r="CU15" i="7" s="1"/>
  <c r="BL50" i="7"/>
  <c r="CL16" i="7" s="1"/>
  <c r="CV15" i="7" s="1"/>
  <c r="BP45" i="7"/>
  <c r="CM11" i="7" s="1"/>
  <c r="CW10" i="7" s="1"/>
  <c r="BL27" i="7"/>
  <c r="CJ11" i="7" s="1"/>
  <c r="CT10" i="7" s="1"/>
  <c r="BL45" i="7"/>
  <c r="CL11" i="7" s="1"/>
  <c r="CV10" i="7" s="1"/>
  <c r="BP27" i="7"/>
  <c r="CK11" i="7" s="1"/>
  <c r="CU10" i="7" s="1"/>
  <c r="BP44" i="7"/>
  <c r="CM10" i="7" s="1"/>
  <c r="CW9" i="7" s="1"/>
  <c r="BL26" i="7"/>
  <c r="CJ10" i="7" s="1"/>
  <c r="CT9" i="7" s="1"/>
  <c r="BL44" i="7"/>
  <c r="CL10" i="7" s="1"/>
  <c r="CV9" i="7" s="1"/>
  <c r="BP26" i="7"/>
  <c r="CK10" i="7" s="1"/>
  <c r="CU9" i="7" s="1"/>
  <c r="BL25" i="7"/>
  <c r="CJ9" i="7" s="1"/>
  <c r="CT8" i="7" s="1"/>
  <c r="BP43" i="7"/>
  <c r="CM9" i="7" s="1"/>
  <c r="CW8" i="7" s="1"/>
  <c r="BL43" i="7"/>
  <c r="CL9" i="7" s="1"/>
  <c r="CV8" i="7" s="1"/>
  <c r="BP25" i="7"/>
  <c r="CK9" i="7" s="1"/>
  <c r="CU8" i="7" s="1"/>
  <c r="BL24" i="7"/>
  <c r="CJ8" i="7" s="1"/>
  <c r="CT7" i="7" s="1"/>
  <c r="BP42" i="7"/>
  <c r="CM8" i="7" s="1"/>
  <c r="CW7" i="7" s="1"/>
  <c r="BP24" i="7"/>
  <c r="CK8" i="7" s="1"/>
  <c r="CU7" i="7" s="1"/>
  <c r="BL42" i="7"/>
  <c r="CL8" i="7" s="1"/>
  <c r="CV7" i="7" s="1"/>
  <c r="BK31" i="7"/>
  <c r="CF15" i="7" s="1"/>
  <c r="CP14" i="7" s="1"/>
  <c r="BO49" i="7"/>
  <c r="CI15" i="7" s="1"/>
  <c r="CS14" i="7" s="1"/>
  <c r="BO31" i="7"/>
  <c r="CG15" i="7" s="1"/>
  <c r="CQ14" i="7" s="1"/>
  <c r="BK49" i="7"/>
  <c r="CH15" i="7" s="1"/>
  <c r="CR14" i="7" s="1"/>
  <c r="BK25" i="7"/>
  <c r="CF9" i="7" s="1"/>
  <c r="CP8" i="7" s="1"/>
  <c r="BO43" i="7"/>
  <c r="CI9" i="7" s="1"/>
  <c r="CS8" i="7" s="1"/>
  <c r="BK43" i="7"/>
  <c r="CH9" i="7" s="1"/>
  <c r="CR8" i="7" s="1"/>
  <c r="BO25" i="7"/>
  <c r="CG9" i="7" s="1"/>
  <c r="CQ8" i="7" s="1"/>
  <c r="BK23" i="7"/>
  <c r="CF7" i="7" s="1"/>
  <c r="CP6" i="7" s="1"/>
  <c r="BO41" i="7"/>
  <c r="CI7" i="7" s="1"/>
  <c r="CS6" i="7" s="1"/>
  <c r="BK41" i="7"/>
  <c r="CH7" i="7" s="1"/>
  <c r="CR6" i="7" s="1"/>
  <c r="BO23" i="7"/>
  <c r="CG7" i="7" s="1"/>
  <c r="CQ6" i="7" s="1"/>
  <c r="BO38" i="7"/>
  <c r="CG22" i="7" s="1"/>
  <c r="CQ21" i="7" s="1"/>
  <c r="BK56" i="7"/>
  <c r="CH22" i="7" s="1"/>
  <c r="CR21" i="7" s="1"/>
  <c r="BK38" i="7"/>
  <c r="CF22" i="7" s="1"/>
  <c r="CP21" i="7" s="1"/>
  <c r="BO56" i="7"/>
  <c r="CI22" i="7" s="1"/>
  <c r="CS21" i="7" s="1"/>
  <c r="BO33" i="7"/>
  <c r="CG17" i="7" s="1"/>
  <c r="CQ16" i="7" s="1"/>
  <c r="BK51" i="7"/>
  <c r="CH17" i="7" s="1"/>
  <c r="CR16" i="7" s="1"/>
  <c r="BK33" i="7"/>
  <c r="CF17" i="7" s="1"/>
  <c r="CP16" i="7" s="1"/>
  <c r="BO51" i="7"/>
  <c r="CI17" i="7" s="1"/>
  <c r="CS16" i="7" s="1"/>
  <c r="BK32" i="7"/>
  <c r="CF16" i="7" s="1"/>
  <c r="CP15" i="7" s="1"/>
  <c r="BO50" i="7"/>
  <c r="CI16" i="7" s="1"/>
  <c r="CS15" i="7" s="1"/>
  <c r="BO32" i="7"/>
  <c r="CG16" i="7" s="1"/>
  <c r="CQ15" i="7" s="1"/>
  <c r="BK50" i="7"/>
  <c r="CH16" i="7" s="1"/>
  <c r="CR15" i="7" s="1"/>
  <c r="BK28" i="7"/>
  <c r="CF12" i="7" s="1"/>
  <c r="CP11" i="7" s="1"/>
  <c r="BO46" i="7"/>
  <c r="CI12" i="7" s="1"/>
  <c r="CS11" i="7" s="1"/>
  <c r="BO28" i="7"/>
  <c r="CG12" i="7" s="1"/>
  <c r="CQ11" i="7" s="1"/>
  <c r="BK46" i="7"/>
  <c r="CH12" i="7" s="1"/>
  <c r="CR11" i="7" s="1"/>
  <c r="BO27" i="7"/>
  <c r="CG11" i="7" s="1"/>
  <c r="CQ10" i="7" s="1"/>
  <c r="BK45" i="7"/>
  <c r="CH11" i="7" s="1"/>
  <c r="CR10" i="7" s="1"/>
  <c r="BK27" i="7"/>
  <c r="CF11" i="7" s="1"/>
  <c r="CP10" i="7" s="1"/>
  <c r="BO45" i="7"/>
  <c r="CI11" i="7" s="1"/>
  <c r="CS10" i="7" s="1"/>
  <c r="BO26" i="7"/>
  <c r="CG10" i="7" s="1"/>
  <c r="CQ9" i="7" s="1"/>
  <c r="BK44" i="7"/>
  <c r="CH10" i="7" s="1"/>
  <c r="CR9" i="7" s="1"/>
  <c r="BK26" i="7"/>
  <c r="CF10" i="7" s="1"/>
  <c r="CP9" i="7" s="1"/>
  <c r="BO44" i="7"/>
  <c r="CI10" i="7" s="1"/>
  <c r="CS9" i="7" s="1"/>
  <c r="BO37" i="7"/>
  <c r="CG21" i="7" s="1"/>
  <c r="CQ20" i="7" s="1"/>
  <c r="BK55" i="7"/>
  <c r="CH21" i="7" s="1"/>
  <c r="CR20" i="7" s="1"/>
  <c r="BK37" i="7"/>
  <c r="CF21" i="7" s="1"/>
  <c r="CP20" i="7" s="1"/>
  <c r="BO55" i="7"/>
  <c r="CI21" i="7" s="1"/>
  <c r="CS20" i="7" s="1"/>
  <c r="BK35" i="7"/>
  <c r="CF19" i="7" s="1"/>
  <c r="CP18" i="7" s="1"/>
  <c r="BO53" i="7"/>
  <c r="CI19" i="7" s="1"/>
  <c r="CS18" i="7" s="1"/>
  <c r="BO35" i="7"/>
  <c r="CG19" i="7" s="1"/>
  <c r="CQ18" i="7" s="1"/>
  <c r="BK53" i="7"/>
  <c r="CH19" i="7" s="1"/>
  <c r="CR18" i="7" s="1"/>
  <c r="BO36" i="7"/>
  <c r="CG20" i="7" s="1"/>
  <c r="CQ19" i="7" s="1"/>
  <c r="BK54" i="7"/>
  <c r="CH20" i="7" s="1"/>
  <c r="CR19" i="7" s="1"/>
  <c r="BK36" i="7"/>
  <c r="CF20" i="7" s="1"/>
  <c r="CP19" i="7" s="1"/>
  <c r="BO54" i="7"/>
  <c r="CI20" i="7" s="1"/>
  <c r="CS19" i="7" s="1"/>
  <c r="BO30" i="7"/>
  <c r="CG14" i="7" s="1"/>
  <c r="CQ13" i="7" s="1"/>
  <c r="BK48" i="7"/>
  <c r="CH14" i="7" s="1"/>
  <c r="CR13" i="7" s="1"/>
  <c r="BK30" i="7"/>
  <c r="CF14" i="7" s="1"/>
  <c r="CP13" i="7" s="1"/>
  <c r="BO48" i="7"/>
  <c r="CI14" i="7" s="1"/>
  <c r="CS13" i="7" s="1"/>
  <c r="BO29" i="7"/>
  <c r="CG13" i="7" s="1"/>
  <c r="CQ12" i="7" s="1"/>
  <c r="BK47" i="7"/>
  <c r="CH13" i="7" s="1"/>
  <c r="CR12" i="7" s="1"/>
  <c r="BK29" i="7"/>
  <c r="CF13" i="7" s="1"/>
  <c r="CP12" i="7" s="1"/>
  <c r="BO47" i="7"/>
  <c r="CI13" i="7" s="1"/>
  <c r="CS12" i="7" s="1"/>
  <c r="BO34" i="7"/>
  <c r="CG18" i="7" s="1"/>
  <c r="CQ17" i="7" s="1"/>
  <c r="BK52" i="7"/>
  <c r="CH18" i="7" s="1"/>
  <c r="CR17" i="7" s="1"/>
  <c r="BK34" i="7"/>
  <c r="CF18" i="7" s="1"/>
  <c r="CP17" i="7" s="1"/>
  <c r="BO52" i="7"/>
  <c r="CI18" i="7" s="1"/>
  <c r="CS17" i="7" s="1"/>
  <c r="BO24" i="7"/>
  <c r="CG8" i="7" s="1"/>
  <c r="CQ7" i="7" s="1"/>
  <c r="BK42" i="7"/>
  <c r="CH8" i="7" s="1"/>
  <c r="CR7" i="7" s="1"/>
  <c r="BO42" i="7"/>
  <c r="CI8" i="7" s="1"/>
  <c r="CS7" i="7" s="1"/>
  <c r="BK24" i="7"/>
  <c r="CF8" i="7" s="1"/>
  <c r="CP7" i="7" s="1"/>
  <c r="T41" i="7" l="1"/>
  <c r="DC19" i="7" l="1"/>
  <c r="DC13" i="7"/>
  <c r="DC14" i="7"/>
  <c r="DC15" i="7"/>
  <c r="DC18" i="7"/>
  <c r="DC4" i="7"/>
  <c r="DC6" i="7"/>
  <c r="DC8" i="7"/>
  <c r="DC11" i="7"/>
  <c r="DA4" i="7"/>
  <c r="DA8" i="7"/>
  <c r="DA13" i="7"/>
  <c r="DA17" i="7"/>
  <c r="DA5" i="7"/>
  <c r="DA9" i="7"/>
  <c r="DA14" i="7"/>
  <c r="DA18" i="7"/>
  <c r="CZ4" i="7"/>
  <c r="DF4" i="7" s="1"/>
  <c r="CZ6" i="7"/>
  <c r="DF6" i="7" s="1"/>
  <c r="CZ8" i="7"/>
  <c r="DF8" i="7" s="1"/>
  <c r="CZ10" i="7"/>
  <c r="CZ17" i="7"/>
  <c r="CZ19" i="7"/>
  <c r="CZ14" i="7"/>
  <c r="CZ16" i="7"/>
  <c r="DB19" i="7"/>
  <c r="DB12" i="7"/>
  <c r="DB5" i="7"/>
  <c r="DB7" i="7"/>
  <c r="DB9" i="7"/>
  <c r="DB11" i="7"/>
  <c r="DB15" i="7"/>
  <c r="DB13" i="7"/>
  <c r="DB14" i="7"/>
  <c r="DB17" i="7"/>
  <c r="DC12" i="7"/>
  <c r="DC16" i="7"/>
  <c r="DC5" i="7"/>
  <c r="DC7" i="7"/>
  <c r="DC9" i="7"/>
  <c r="DC10" i="7"/>
  <c r="DC17" i="7"/>
  <c r="DA6" i="7"/>
  <c r="DA10" i="7"/>
  <c r="DA15" i="7"/>
  <c r="DA19" i="7"/>
  <c r="DA7" i="7"/>
  <c r="DA11" i="7"/>
  <c r="DA16" i="7"/>
  <c r="DA12" i="7"/>
  <c r="CZ5" i="7"/>
  <c r="CZ7" i="7"/>
  <c r="CZ9" i="7"/>
  <c r="CZ11" i="7"/>
  <c r="CZ18" i="7"/>
  <c r="CZ13" i="7"/>
  <c r="CZ15" i="7"/>
  <c r="CZ12" i="7"/>
  <c r="DB4" i="7"/>
  <c r="DB6" i="7"/>
  <c r="DB8" i="7"/>
  <c r="DB10" i="7"/>
  <c r="DB16" i="7"/>
  <c r="DB18" i="7"/>
  <c r="DF19" i="7" l="1"/>
  <c r="DF18" i="7"/>
  <c r="DF15" i="7"/>
  <c r="DF13" i="7"/>
  <c r="DG15" i="7"/>
  <c r="DG19" i="7"/>
  <c r="DF14" i="7"/>
  <c r="DF11" i="7"/>
  <c r="DF12" i="7"/>
  <c r="DG5" i="7"/>
  <c r="DG14" i="7"/>
  <c r="DF10" i="7"/>
  <c r="DG7" i="7"/>
  <c r="DG9" i="7"/>
  <c r="DG13" i="7"/>
  <c r="DG17" i="7"/>
  <c r="DG11" i="7"/>
  <c r="DG12" i="7"/>
  <c r="DF5" i="7"/>
  <c r="DF7" i="7"/>
  <c r="DF9" i="7"/>
  <c r="DG6" i="7"/>
  <c r="DG4" i="7"/>
  <c r="DG8" i="7"/>
  <c r="DG18" i="7"/>
  <c r="DF17" i="7"/>
  <c r="DF16" i="7"/>
  <c r="DG10" i="7"/>
  <c r="DG16" i="7"/>
  <c r="DF21" i="7" l="1"/>
  <c r="DG21" i="7"/>
  <c r="DH9" i="7" l="1"/>
  <c r="DI8" i="7"/>
  <c r="DH8" i="7"/>
  <c r="DH11" i="7"/>
  <c r="DI10" i="7"/>
  <c r="DH10" i="7"/>
  <c r="DI9" i="7"/>
  <c r="DI11" i="7"/>
  <c r="DH12" i="7"/>
  <c r="DI12" i="7"/>
  <c r="DI5" i="7"/>
  <c r="DH5" i="7"/>
  <c r="DI4" i="7"/>
  <c r="DI6" i="7"/>
  <c r="DH13" i="7"/>
  <c r="DI7" i="7"/>
  <c r="DH7" i="7"/>
  <c r="DH6" i="7"/>
  <c r="DI13" i="7"/>
  <c r="DH15" i="7"/>
  <c r="DH14" i="7"/>
  <c r="DI15" i="7"/>
  <c r="DI14" i="7"/>
  <c r="DI19" i="7"/>
  <c r="DH19" i="7"/>
  <c r="DH18" i="7"/>
  <c r="DH17" i="7"/>
  <c r="DH16" i="7"/>
  <c r="DH4" i="7"/>
  <c r="DI18" i="7"/>
  <c r="DI17" i="7"/>
  <c r="DI16" i="7"/>
  <c r="DM17" i="7"/>
  <c r="DM16" i="7"/>
  <c r="DM9" i="7"/>
  <c r="DM18" i="7" l="1"/>
  <c r="DM15" i="7"/>
  <c r="DM14" i="7"/>
  <c r="DM19" i="7"/>
  <c r="DM13" i="7"/>
  <c r="DM12" i="7"/>
  <c r="DM11" i="7"/>
  <c r="DM10" i="7"/>
  <c r="DM8" i="7"/>
  <c r="DM5" i="7"/>
  <c r="DM4" i="7"/>
  <c r="DM7" i="7"/>
  <c r="DM6" i="7"/>
</calcChain>
</file>

<file path=xl/sharedStrings.xml><?xml version="1.0" encoding="utf-8"?>
<sst xmlns="http://schemas.openxmlformats.org/spreadsheetml/2006/main" count="1093" uniqueCount="138">
  <si>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</si>
  <si>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</si>
  <si>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</si>
  <si>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</si>
  <si>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</si>
  <si>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</si>
  <si>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</si>
  <si>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</si>
  <si>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</si>
  <si>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</si>
  <si>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</si>
  <si>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</si>
  <si>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</si>
  <si>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</si>
  <si>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</si>
  <si>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</si>
  <si>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</si>
  <si>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</si>
  <si>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</si>
  <si>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</si>
  <si>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</si>
  <si>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</si>
  <si>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</si>
  <si>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</si>
  <si>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</si>
  <si>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</si>
  <si>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</si>
  <si>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</si>
  <si>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</si>
  <si>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</si>
  <si>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</si>
  <si>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</si>
  <si>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</si>
  <si>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</si>
  <si>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</si>
  <si>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</si>
  <si>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</si>
  <si>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</si>
  <si>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</si>
  <si>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</si>
  <si>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</si>
  <si>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</si>
  <si>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</si>
  <si>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</si>
  <si>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</si>
  <si>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</si>
  <si>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</si>
  <si>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</si>
  <si>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</si>
  <si>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</si>
  <si>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</si>
  <si>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</si>
  <si>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</si>
  <si>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</si>
  <si>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</si>
  <si>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</si>
  <si>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</si>
  <si>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</si>
  <si>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</si>
  <si>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</si>
  <si>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</si>
  <si>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</si>
  <si>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</si>
  <si>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</si>
  <si>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</si>
  <si>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</si>
  <si>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</si>
  <si>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</si>
  <si>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</si>
  <si>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</si>
  <si>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</si>
  <si>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</si>
  <si>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</si>
  <si>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</si>
  <si>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</si>
  <si>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</si>
  <si>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</si>
  <si>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</si>
  <si>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</si>
  <si>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</si>
  <si>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</si>
  <si>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</si>
  <si>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</si>
  <si>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</si>
  <si>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</si>
  <si>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</si>
  <si>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</si>
  <si>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</si>
  <si>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</si>
  <si>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</si>
  <si>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</si>
  <si>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</si>
  <si>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</si>
  <si>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</si>
  <si>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</si>
  <si>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</si>
  <si>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</si>
  <si>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</si>
  <si>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</si>
  <si>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</si>
  <si>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</si>
  <si>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</si>
  <si>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</si>
  <si>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</si>
  <si>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</si>
  <si>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</si>
  <si>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</si>
  <si>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</si>
  <si>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</si>
  <si>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</si>
  <si>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</si>
  <si>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</si>
  <si>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</si>
  <si>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</si>
  <si>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</si>
  <si>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</si>
  <si>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</si>
  <si>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</si>
  <si>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</si>
  <si>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</si>
  <si>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</si>
  <si>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</si>
  <si>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</si>
  <si>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</si>
  <si>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</si>
  <si>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</si>
  <si>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</si>
  <si>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</si>
  <si>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</si>
  <si>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</si>
  <si>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</si>
  <si>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</si>
  <si>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</si>
  <si>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</si>
  <si>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lower bounds -5% &amp; upper bounds +5% but capped at 0 and 1 respectively</t>
  </si>
  <si>
    <t>1-NRM</t>
  </si>
  <si>
    <t>Min-Max(1-NRM)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</si>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</sst>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8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D6DADC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15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5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7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0" fontId="2" fillId="0" borderId="44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" fillId="0" borderId="53" xfId="0" applyFont="1" applyBorder="1" applyAlignment="1">
      <alignment horizontal="center" vertical="center"/>
    </xf>
    <xf numFmtId="2" fontId="0" fillId="0" borderId="54" xfId="0" applyNumberFormat="1" applyBorder="1"/>
    <xf numFmtId="2" fontId="0" fillId="0" borderId="49" xfId="0" applyNumberFormat="1" applyBorder="1"/>
    <xf numFmtId="2" fontId="0" fillId="0" borderId="55" xfId="0" applyNumberFormat="1" applyBorder="1"/>
    <xf numFmtId="2" fontId="0" fillId="0" borderId="56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0" fillId="7" borderId="7" xfId="0" applyFill="1" applyBorder="1"/>
    <xf numFmtId="2" fontId="0" fillId="7" borderId="8" xfId="0" applyNumberFormat="1" applyFill="1" applyBorder="1"/>
    <xf numFmtId="2" fontId="0" fillId="7" borderId="0" xfId="0" applyNumberFormat="1" applyFill="1"/>
    <xf numFmtId="0" fontId="0" fillId="7" borderId="8" xfId="0" applyFill="1" applyBorder="1"/>
    <xf numFmtId="0" fontId="0" fillId="7" borderId="9" xfId="0" applyFill="1" applyBorder="1"/>
    <xf numFmtId="0" fontId="0" fillId="7" borderId="11" xfId="0" applyFill="1" applyBorder="1"/>
    <xf numFmtId="0" fontId="0" fillId="7" borderId="0" xfId="0" quotePrefix="1" applyFill="1"/>
    <xf numFmtId="165" fontId="0" fillId="0" borderId="62" xfId="0" applyNumberFormat="1" applyBorder="1"/>
    <xf numFmtId="164" fontId="0" fillId="0" borderId="49" xfId="0" applyNumberFormat="1" applyBorder="1"/>
    <xf numFmtId="164" fontId="0" fillId="0" borderId="51" xfId="0" applyNumberFormat="1" applyBorder="1"/>
    <xf numFmtId="164" fontId="0" fillId="0" borderId="52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164" fontId="0" fillId="0" borderId="47" xfId="0" applyNumberFormat="1" applyBorder="1"/>
    <xf numFmtId="164" fontId="0" fillId="0" borderId="48" xfId="0" applyNumberFormat="1" applyBorder="1"/>
    <xf numFmtId="164" fontId="0" fillId="0" borderId="50" xfId="0" applyNumberFormat="1" applyBorder="1"/>
    <xf numFmtId="0" fontId="9" fillId="0" borderId="5" xfId="0" applyFont="1" applyBorder="1" applyAlignment="1">
      <alignment horizontal="left" vertical="center"/>
    </xf>
    <xf numFmtId="164" fontId="0" fillId="0" borderId="0" xfId="1" applyNumberFormat="1" applyFont="1" applyFill="1" applyBorder="1"/>
    <xf numFmtId="0" fontId="7" fillId="0" borderId="0" xfId="0" applyFont="1"/>
    <xf numFmtId="0" fontId="0" fillId="3" borderId="3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  <xf numFmtId="0" fontId="0" fillId="0" borderId="51" xfId="0" applyBorder="1" applyAlignment="1">
      <alignment horizontal="center"/>
    </xf>
    <xf numFmtId="2" fontId="0" fillId="0" borderId="63" xfId="0" applyNumberFormat="1" applyBorder="1" applyAlignment="1">
      <alignment horizontal="center"/>
    </xf>
    <xf numFmtId="2" fontId="0" fillId="0" borderId="64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5" xfId="0" applyFont="1" applyBorder="1" applyAlignment="1">
      <alignment horizontal="left" vertical="center"/>
    </xf>
    <xf numFmtId="164" fontId="0" fillId="0" borderId="0" xfId="0" applyNumberFormat="1" applyBorder="1"/>
    <xf numFmtId="164" fontId="0" fillId="0" borderId="13" xfId="1" applyNumberFormat="1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calculations!$DH$3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calculations!$CY$4:$CY$19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calculations!$DH$4:$DH$19</c:f>
              <c:numCache>
                <c:formatCode>0.000</c:formatCode>
                <c:ptCount val="16"/>
                <c:pt idx="0">
                  <c:v>8.738125029242827E-2</c:v>
                </c:pt>
                <c:pt idx="1">
                  <c:v>0.23953235371504411</c:v>
                </c:pt>
                <c:pt idx="2">
                  <c:v>0</c:v>
                </c:pt>
                <c:pt idx="3">
                  <c:v>9.2005003841899691E-2</c:v>
                </c:pt>
                <c:pt idx="4">
                  <c:v>0.16697298669563301</c:v>
                </c:pt>
                <c:pt idx="5">
                  <c:v>6.6975309519852144E-2</c:v>
                </c:pt>
                <c:pt idx="6">
                  <c:v>1.8252066369791198E-2</c:v>
                </c:pt>
                <c:pt idx="7">
                  <c:v>3.4292866376176516E-4</c:v>
                </c:pt>
                <c:pt idx="8">
                  <c:v>0.1330726961402427</c:v>
                </c:pt>
                <c:pt idx="9">
                  <c:v>0.22264196078797191</c:v>
                </c:pt>
                <c:pt idx="10">
                  <c:v>2.38031017485325E-3</c:v>
                </c:pt>
                <c:pt idx="11">
                  <c:v>0.11095987351272098</c:v>
                </c:pt>
                <c:pt idx="12">
                  <c:v>5.2451930469189105E-2</c:v>
                </c:pt>
                <c:pt idx="13">
                  <c:v>9.2441837155258999E-2</c:v>
                </c:pt>
                <c:pt idx="14">
                  <c:v>1.6880602536989149E-2</c:v>
                </c:pt>
                <c:pt idx="15">
                  <c:v>4.5666799518075347E-2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calculations!$DI$3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A3531A0-0C66-4DEC-8D86-13022599A36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6F4788-A14E-44C6-895B-795672D087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F45613-3B08-4A87-BB3F-D6F6E9F291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9B1F21-D29F-490D-8DC9-DEDC2D7607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81988D-9AE9-4329-B1AD-BB35225D55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DB4A51-D183-45DF-971D-7A51D86728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B14DC3-2879-499D-B650-E1664C2372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384102-A392-4D27-816C-C0CBFD5ED0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8F7AC5B-54C7-4EF5-AA8B-1704C8752AF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60DFF5-6A9C-4E3D-B07E-0D7710355F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E038B62-5B88-478E-9C20-B75874FBA4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C96AD4-8F02-460D-BE3D-D9E4D1E686C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5AC69F1-F488-4272-8204-4382D10F2BB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38C0564-BD9E-40AD-8521-DF39CB790E4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7750AE-818D-4E13-A4F6-68E5BC47B4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AC5B22-3450-4456-BB64-4C9F8906D9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calculations!$CY$4:$CY$19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calculations!$DI$4:$DI$19</c:f>
              <c:numCache>
                <c:formatCode>0.000</c:formatCode>
                <c:ptCount val="16"/>
                <c:pt idx="0">
                  <c:v>0.71939904844526747</c:v>
                </c:pt>
                <c:pt idx="1">
                  <c:v>1</c:v>
                </c:pt>
                <c:pt idx="2">
                  <c:v>0.47149783771313003</c:v>
                </c:pt>
                <c:pt idx="3">
                  <c:v>0.61916491405764074</c:v>
                </c:pt>
                <c:pt idx="4">
                  <c:v>0.71312223578536582</c:v>
                </c:pt>
                <c:pt idx="5">
                  <c:v>0.56947490219918218</c:v>
                </c:pt>
                <c:pt idx="6">
                  <c:v>0.72266931352108699</c:v>
                </c:pt>
                <c:pt idx="7">
                  <c:v>0.64402033604801523</c:v>
                </c:pt>
                <c:pt idx="8">
                  <c:v>0.74220374401543021</c:v>
                </c:pt>
                <c:pt idx="9">
                  <c:v>0.64950856134663026</c:v>
                </c:pt>
                <c:pt idx="10">
                  <c:v>0.77242250251141686</c:v>
                </c:pt>
                <c:pt idx="11">
                  <c:v>0.69238721970735073</c:v>
                </c:pt>
                <c:pt idx="12">
                  <c:v>0.59544225823799002</c:v>
                </c:pt>
                <c:pt idx="13">
                  <c:v>0.62075151921061833</c:v>
                </c:pt>
                <c:pt idx="14">
                  <c:v>0.77401112164547348</c:v>
                </c:pt>
                <c:pt idx="15">
                  <c:v>0.52926552979183172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calculations!$DI$4:$DI$19</c15:f>
                <c15:dlblRangeCache>
                  <c:ptCount val="16"/>
                  <c:pt idx="0">
                    <c:v>0.719</c:v>
                  </c:pt>
                  <c:pt idx="1">
                    <c:v>1.000</c:v>
                  </c:pt>
                  <c:pt idx="2">
                    <c:v>0.471</c:v>
                  </c:pt>
                  <c:pt idx="3">
                    <c:v>0.619</c:v>
                  </c:pt>
                  <c:pt idx="4">
                    <c:v>0.713</c:v>
                  </c:pt>
                  <c:pt idx="5">
                    <c:v>0.569</c:v>
                  </c:pt>
                  <c:pt idx="6">
                    <c:v>0.723</c:v>
                  </c:pt>
                  <c:pt idx="7">
                    <c:v>0.644</c:v>
                  </c:pt>
                  <c:pt idx="8">
                    <c:v>0.742</c:v>
                  </c:pt>
                  <c:pt idx="9">
                    <c:v>0.650</c:v>
                  </c:pt>
                  <c:pt idx="10">
                    <c:v>0.772</c:v>
                  </c:pt>
                  <c:pt idx="11">
                    <c:v>0.692</c:v>
                  </c:pt>
                  <c:pt idx="12">
                    <c:v>0.595</c:v>
                  </c:pt>
                  <c:pt idx="13">
                    <c:v>0.621</c:v>
                  </c:pt>
                  <c:pt idx="14">
                    <c:v>0.774</c:v>
                  </c:pt>
                  <c:pt idx="15">
                    <c:v>0.529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769936</xdr:colOff>
      <xdr:row>22</xdr:row>
      <xdr:rowOff>45358</xdr:rowOff>
    </xdr:from>
    <xdr:to>
      <xdr:col>116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5"/>
      <c r="C1" s="65" t="s">
        <v>126</v>
      </c>
      <c r="D1" s="65"/>
      <c r="E1" s="65"/>
      <c r="F1" s="65"/>
    </row>
    <row r="3" spans="2:6" ht="16.5" thickBot="1" x14ac:dyDescent="0.3">
      <c r="B3" s="20"/>
      <c r="C3" s="61" t="s">
        <v>47</v>
      </c>
      <c r="D3" s="61" t="s">
        <v>46</v>
      </c>
      <c r="E3" s="61" t="s">
        <v>45</v>
      </c>
      <c r="F3" s="61" t="s">
        <v>44</v>
      </c>
    </row>
    <row r="4" spans="2:6" ht="15.75" thickBot="1" x14ac:dyDescent="0.3">
      <c r="B4" s="3">
        <v>1</v>
      </c>
      <c r="C4" s="8" t="s">
        <v>43</v>
      </c>
      <c r="D4" s="62">
        <v>45170</v>
      </c>
      <c r="E4" s="62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2">
        <v>45200</v>
      </c>
      <c r="E5" s="62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2">
        <v>45231</v>
      </c>
      <c r="E6" s="62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2">
        <v>45261</v>
      </c>
      <c r="E7" s="62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2">
        <v>45292</v>
      </c>
      <c r="E8" s="62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2">
        <v>45323</v>
      </c>
      <c r="E9" s="62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2">
        <v>45352</v>
      </c>
      <c r="E10" s="62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2">
        <v>45383</v>
      </c>
      <c r="E11" s="62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2">
        <v>45413</v>
      </c>
      <c r="E12" s="62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2">
        <v>45444</v>
      </c>
      <c r="E13" s="62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2">
        <v>45474</v>
      </c>
      <c r="E14" s="62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2">
        <v>45505</v>
      </c>
      <c r="E15" s="62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3" t="s">
        <v>125</v>
      </c>
      <c r="F17" s="64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DO99"/>
  <sheetViews>
    <sheetView tabSelected="1" topLeftCell="CE1" zoomScale="80" zoomScaleNormal="80" workbookViewId="0">
      <selection activeCell="DM4" sqref="DM4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hidden="1" customWidth="1"/>
    <col min="45" max="45" width="2.7109375" hidden="1" customWidth="1"/>
    <col min="46" max="49" width="5.7109375" hidden="1" customWidth="1"/>
    <col min="50" max="50" width="2.7109375" hidden="1" customWidth="1"/>
    <col min="51" max="54" width="5.7109375" hidden="1" customWidth="1"/>
    <col min="55" max="55" width="5.7109375" customWidth="1"/>
    <col min="56" max="56" width="19.140625" bestFit="1" customWidth="1"/>
    <col min="57" max="61" width="5.7109375" customWidth="1"/>
    <col min="62" max="62" width="19.140625" customWidth="1"/>
    <col min="63" max="66" width="5.7109375" customWidth="1"/>
    <col min="67" max="70" width="6.7109375" customWidth="1"/>
    <col min="71" max="82" width="5.7109375" customWidth="1"/>
    <col min="83" max="83" width="19.140625" bestFit="1" customWidth="1"/>
    <col min="84" max="91" width="5.7109375" bestFit="1" customWidth="1"/>
    <col min="93" max="93" width="19.140625" bestFit="1" customWidth="1"/>
    <col min="103" max="103" width="19.140625" bestFit="1" customWidth="1"/>
    <col min="104" max="107" width="6.7109375" customWidth="1"/>
    <col min="108" max="116" width="9.140625" customWidth="1"/>
  </cols>
  <sheetData>
    <row r="1" spans="1:119" ht="15.75" thickBot="1" x14ac:dyDescent="0.3">
      <c r="T1" s="149" t="s">
        <v>129</v>
      </c>
      <c r="U1" s="149"/>
      <c r="V1" s="149"/>
      <c r="W1" s="149"/>
      <c r="X1" s="149"/>
      <c r="Y1" s="149"/>
      <c r="Z1" s="149"/>
      <c r="AA1" s="149"/>
      <c r="AB1" s="149"/>
      <c r="AC1" s="149"/>
      <c r="AD1" s="149"/>
      <c r="AF1" s="149" t="s">
        <v>130</v>
      </c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E1" s="148" t="s">
        <v>131</v>
      </c>
      <c r="DF1" s="148"/>
      <c r="DG1" s="148"/>
      <c r="DH1" s="148"/>
      <c r="DI1" s="148"/>
      <c r="DM1" s="52" t="s">
        <v>132</v>
      </c>
    </row>
    <row r="2" spans="1:119" ht="15.75" thickBot="1" x14ac:dyDescent="0.3">
      <c r="A2" s="65" t="s">
        <v>127</v>
      </c>
      <c r="H2" t="s">
        <v>53</v>
      </c>
      <c r="T2" t="s">
        <v>56</v>
      </c>
      <c r="AF2" t="s">
        <v>54</v>
      </c>
      <c r="AL2" s="65" t="s">
        <v>128</v>
      </c>
      <c r="AR2" t="s">
        <v>124</v>
      </c>
      <c r="BD2" s="91" t="s">
        <v>135</v>
      </c>
      <c r="BE2" s="92"/>
      <c r="BF2" s="92"/>
      <c r="BG2" s="92"/>
      <c r="BH2" s="93"/>
      <c r="BJ2" t="s">
        <v>55</v>
      </c>
      <c r="BU2" t="s">
        <v>136</v>
      </c>
      <c r="CF2" t="s">
        <v>57</v>
      </c>
      <c r="CP2" t="s">
        <v>58</v>
      </c>
      <c r="CZ2" t="s">
        <v>59</v>
      </c>
      <c r="DF2" t="s">
        <v>60</v>
      </c>
      <c r="DH2" t="s">
        <v>61</v>
      </c>
      <c r="DM2" t="s">
        <v>62</v>
      </c>
    </row>
    <row r="3" spans="1:119" ht="15.75" thickBot="1" x14ac:dyDescent="0.3">
      <c r="A3" s="66" t="s">
        <v>63</v>
      </c>
      <c r="B3" s="67" t="s">
        <v>48</v>
      </c>
      <c r="C3" s="67" t="s">
        <v>29</v>
      </c>
      <c r="D3" s="67" t="s">
        <v>49</v>
      </c>
      <c r="E3" s="67" t="s">
        <v>50</v>
      </c>
      <c r="F3" s="68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109" t="s">
        <v>71</v>
      </c>
      <c r="U3" s="110" t="s">
        <v>64</v>
      </c>
      <c r="V3" s="110" t="s">
        <v>65</v>
      </c>
      <c r="W3" s="110" t="s">
        <v>66</v>
      </c>
      <c r="X3" s="110" t="s">
        <v>67</v>
      </c>
      <c r="Y3" s="120"/>
      <c r="Z3" s="120"/>
      <c r="AA3" s="120"/>
      <c r="AB3" s="120"/>
      <c r="AC3" s="120"/>
      <c r="AD3" s="121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6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66" t="s">
        <v>48</v>
      </c>
      <c r="BE3" s="31" t="s">
        <v>64</v>
      </c>
      <c r="BF3" s="31" t="s">
        <v>65</v>
      </c>
      <c r="BG3" s="31" t="s">
        <v>66</v>
      </c>
      <c r="BH3" s="32" t="s">
        <v>67</v>
      </c>
      <c r="BI3" s="12"/>
      <c r="BJ3" s="15"/>
      <c r="BK3" s="150" t="s">
        <v>69</v>
      </c>
      <c r="BL3" s="150"/>
      <c r="BM3" s="150"/>
      <c r="BN3" s="150"/>
      <c r="BO3" s="150" t="s">
        <v>70</v>
      </c>
      <c r="BP3" s="150"/>
      <c r="BQ3" s="150"/>
      <c r="BR3" s="151"/>
      <c r="BS3" s="12"/>
      <c r="BT3" s="12"/>
      <c r="BU3" s="15"/>
      <c r="BV3" s="150" t="s">
        <v>137</v>
      </c>
      <c r="BW3" s="150"/>
      <c r="BX3" s="150"/>
      <c r="BY3" s="150"/>
      <c r="BZ3" s="152" t="s">
        <v>70</v>
      </c>
      <c r="CA3" s="152"/>
      <c r="CB3" s="152"/>
      <c r="CC3" s="153"/>
      <c r="CD3" s="12"/>
      <c r="CF3" s="140" t="s">
        <v>72</v>
      </c>
      <c r="CG3" s="140"/>
      <c r="CH3" s="140" t="s">
        <v>73</v>
      </c>
      <c r="CI3" s="140"/>
      <c r="CJ3" s="140" t="s">
        <v>72</v>
      </c>
      <c r="CK3" s="140"/>
      <c r="CL3" s="140" t="s">
        <v>73</v>
      </c>
      <c r="CM3" s="140"/>
      <c r="CO3" s="37" t="s">
        <v>74</v>
      </c>
      <c r="CP3" s="37"/>
      <c r="CQ3" s="37"/>
      <c r="CR3" s="37"/>
      <c r="CS3" s="37"/>
      <c r="CY3" s="38" t="s">
        <v>48</v>
      </c>
      <c r="CZ3" t="s">
        <v>75</v>
      </c>
      <c r="DA3" t="s">
        <v>76</v>
      </c>
      <c r="DB3" t="s">
        <v>77</v>
      </c>
      <c r="DC3" t="s">
        <v>78</v>
      </c>
      <c r="DF3" s="147" t="s">
        <v>79</v>
      </c>
      <c r="DG3" s="147"/>
      <c r="DH3" t="s">
        <v>80</v>
      </c>
      <c r="DI3" t="s">
        <v>81</v>
      </c>
      <c r="DM3" t="s">
        <v>82</v>
      </c>
    </row>
    <row r="4" spans="1:119" ht="15.75" thickBot="1" x14ac:dyDescent="0.3">
      <c r="A4" s="36" t="s">
        <v>83</v>
      </c>
      <c r="B4" s="69" t="s">
        <v>1</v>
      </c>
      <c r="C4" s="70">
        <v>6</v>
      </c>
      <c r="D4" s="70">
        <v>32</v>
      </c>
      <c r="E4" s="70">
        <v>2</v>
      </c>
      <c r="F4" s="71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111" t="s">
        <v>86</v>
      </c>
      <c r="U4" s="112">
        <v>2</v>
      </c>
      <c r="V4" s="112">
        <v>14</v>
      </c>
      <c r="W4" s="112">
        <v>0</v>
      </c>
      <c r="X4" s="112">
        <v>0</v>
      </c>
      <c r="Y4" s="113"/>
      <c r="Z4" s="113"/>
      <c r="AA4" s="113" t="s">
        <v>87</v>
      </c>
      <c r="AB4" s="113" t="s">
        <v>88</v>
      </c>
      <c r="AC4" s="113" t="s">
        <v>89</v>
      </c>
      <c r="AD4" s="122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6">
        <f t="shared" ref="AM4:AM35" si="0">(AG$4-C4)/(AG$4-AG$5)</f>
        <v>0.98070739549839225</v>
      </c>
      <c r="AN4" s="77">
        <f t="shared" ref="AN4:AN35" si="1">(D4-AH$5)/(AH$4-AH$5)</f>
        <v>0.1807909604519774</v>
      </c>
      <c r="AO4" s="77">
        <f t="shared" ref="AO4:AO35" si="2">(E4-AI$5)/(AI$4-AI$5)</f>
        <v>7.6923076923076927E-2</v>
      </c>
      <c r="AP4" s="78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36" t="s">
        <v>1</v>
      </c>
      <c r="BE4" s="76">
        <f>1-AM4</f>
        <v>1.9292604501607746E-2</v>
      </c>
      <c r="BF4" s="77">
        <f t="shared" ref="BF4:BH19" si="4">1-AN4</f>
        <v>0.8192090395480226</v>
      </c>
      <c r="BG4" s="77">
        <f t="shared" si="4"/>
        <v>0.92307692307692313</v>
      </c>
      <c r="BH4" s="78">
        <f t="shared" si="4"/>
        <v>0</v>
      </c>
      <c r="BI4" s="45"/>
      <c r="BJ4" s="15"/>
      <c r="BK4" s="47" t="s">
        <v>64</v>
      </c>
      <c r="BL4" s="47" t="s">
        <v>65</v>
      </c>
      <c r="BM4" s="47" t="s">
        <v>66</v>
      </c>
      <c r="BN4" s="47" t="s">
        <v>67</v>
      </c>
      <c r="BO4" s="47" t="s">
        <v>64</v>
      </c>
      <c r="BP4" s="47" t="s">
        <v>65</v>
      </c>
      <c r="BQ4" s="47" t="s">
        <v>66</v>
      </c>
      <c r="BR4" s="48" t="s">
        <v>67</v>
      </c>
      <c r="BS4" s="45"/>
      <c r="BT4" s="45"/>
      <c r="BU4" s="15"/>
      <c r="BV4" s="133" t="s">
        <v>64</v>
      </c>
      <c r="BW4" s="133" t="s">
        <v>65</v>
      </c>
      <c r="BX4" s="133" t="s">
        <v>66</v>
      </c>
      <c r="BY4" s="133" t="s">
        <v>67</v>
      </c>
      <c r="BZ4" s="133" t="s">
        <v>64</v>
      </c>
      <c r="CA4" s="133" t="s">
        <v>65</v>
      </c>
      <c r="CB4" s="133" t="s">
        <v>66</v>
      </c>
      <c r="CC4" s="154" t="s">
        <v>67</v>
      </c>
      <c r="CD4" s="45"/>
      <c r="CE4" s="30"/>
      <c r="CF4" s="103">
        <f>AA37</f>
        <v>1.2592592592592593E-2</v>
      </c>
      <c r="CG4" s="104">
        <f>AA38</f>
        <v>7.6666666666666661E-2</v>
      </c>
      <c r="CH4" s="104">
        <f>AA39</f>
        <v>6.2962962962962957E-2</v>
      </c>
      <c r="CI4" s="104">
        <f>AA40</f>
        <v>0.23851851851851849</v>
      </c>
      <c r="CJ4" s="104">
        <f>AB37</f>
        <v>0.34195402298850575</v>
      </c>
      <c r="CK4" s="104">
        <f>AB38</f>
        <v>0.63448275862068959</v>
      </c>
      <c r="CL4" s="104">
        <f>AB39</f>
        <v>0.1954022988505747</v>
      </c>
      <c r="CM4" s="105">
        <f>AB40</f>
        <v>0.43620689655172407</v>
      </c>
      <c r="CO4" s="37" t="s">
        <v>91</v>
      </c>
      <c r="CP4" s="2"/>
      <c r="CQ4" s="2"/>
      <c r="CR4" s="2"/>
      <c r="CS4" s="2"/>
      <c r="CY4" s="4" t="s">
        <v>1</v>
      </c>
      <c r="CZ4" s="14">
        <f t="shared" ref="CZ4:DC11" si="5">(CP6+CT6+CP23+CT23)/$T$41</f>
        <v>2.8432713029285715E-2</v>
      </c>
      <c r="DA4" s="14">
        <f t="shared" si="5"/>
        <v>0.26711367683707354</v>
      </c>
      <c r="DB4" s="14">
        <f t="shared" si="5"/>
        <v>5.6964075378201605E-2</v>
      </c>
      <c r="DC4" s="14">
        <f t="shared" si="5"/>
        <v>0.31545089456944325</v>
      </c>
      <c r="DE4" s="4" t="s">
        <v>1</v>
      </c>
      <c r="DF4" s="14">
        <f t="shared" ref="DF4:DF19" si="6">CZ4-DC4</f>
        <v>-0.28701818154015751</v>
      </c>
      <c r="DG4" s="14">
        <f t="shared" ref="DG4:DG19" si="7">DA4-DB4</f>
        <v>0.21014960145887193</v>
      </c>
      <c r="DH4" s="49">
        <f t="shared" ref="DH4:DI19" si="8">(DF4+$DF$21)/($DF$21+$DG$21)</f>
        <v>8.738125029242827E-2</v>
      </c>
      <c r="DI4" s="49">
        <f t="shared" si="8"/>
        <v>0.71939904844526747</v>
      </c>
      <c r="DK4" s="14"/>
      <c r="DM4" s="106">
        <f>RANK(DH4,$DH$4:$DH$19,0)</f>
        <v>8</v>
      </c>
      <c r="DO4" s="14"/>
    </row>
    <row r="5" spans="1:119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111" t="s">
        <v>92</v>
      </c>
      <c r="U5" s="112">
        <v>3</v>
      </c>
      <c r="V5" s="112">
        <v>31</v>
      </c>
      <c r="W5" s="112">
        <v>0</v>
      </c>
      <c r="X5" s="112">
        <v>0</v>
      </c>
      <c r="Y5" s="113"/>
      <c r="Z5" s="113"/>
      <c r="AA5" s="113" t="s">
        <v>93</v>
      </c>
      <c r="AB5" s="113" t="s">
        <v>94</v>
      </c>
      <c r="AC5" s="123" t="s">
        <v>95</v>
      </c>
      <c r="AD5" s="122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79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2</v>
      </c>
      <c r="BE5" s="43">
        <f t="shared" ref="BE5:BH68" si="9">1-AM5</f>
        <v>6.4308681672026191E-3</v>
      </c>
      <c r="BF5" s="44">
        <f t="shared" si="4"/>
        <v>0.80790960451977401</v>
      </c>
      <c r="BG5" s="44">
        <f t="shared" si="4"/>
        <v>0.92307692307692313</v>
      </c>
      <c r="BH5" s="79">
        <f t="shared" si="4"/>
        <v>0</v>
      </c>
      <c r="BI5" s="45"/>
      <c r="BJ5" s="39" t="s">
        <v>1</v>
      </c>
      <c r="BK5" s="13">
        <f>MIN(AM4,AM20,AM36,AM52,AM68,AM84)</f>
        <v>0.53697749196141475</v>
      </c>
      <c r="BL5" s="13">
        <f>MIN(AN4,AN20,AN36,AN52,AN68,AN84)</f>
        <v>0.1807909604519774</v>
      </c>
      <c r="BM5" s="13">
        <f>MIN(AO4,AO20,AO36,AO52,AO68,AO84)</f>
        <v>3.8461538461538464E-2</v>
      </c>
      <c r="BN5" s="13">
        <f>MIN(AP4,AP20,AP36,AP52,AP68,AP84)</f>
        <v>0.66666666666666663</v>
      </c>
      <c r="BO5" s="13">
        <f>MAX(AM4,AM20,AM36,AM52,AM68,AM84)</f>
        <v>0.98713826366559487</v>
      </c>
      <c r="BP5" s="13">
        <f>MAX(AN4,AN20,AN36,AN52,AN68,AN84)</f>
        <v>0.60451977401129942</v>
      </c>
      <c r="BQ5" s="13">
        <f>MAX(AO4,AO20,AO36,AO52,AO68,AO84)</f>
        <v>0.23076923076923078</v>
      </c>
      <c r="BR5" s="50">
        <f>MAX(AP4,AP20,AP36,AP52,AP68,AP84)</f>
        <v>1</v>
      </c>
      <c r="BS5" s="45"/>
      <c r="BT5" s="45"/>
      <c r="BU5" s="39" t="s">
        <v>1</v>
      </c>
      <c r="BV5" s="134">
        <f>MIN(BE4,BE20,BE36,BE52,BE68,BE84)</f>
        <v>1.2861736334405127E-2</v>
      </c>
      <c r="BW5" s="134">
        <f t="shared" ref="BW5:BY20" si="10">MIN(BF4,BF20,BF36,BF52,BF68,BF84)</f>
        <v>0.39548022598870058</v>
      </c>
      <c r="BX5" s="134">
        <f t="shared" si="10"/>
        <v>0.76923076923076916</v>
      </c>
      <c r="BY5" s="134">
        <f t="shared" si="10"/>
        <v>0</v>
      </c>
      <c r="BZ5" s="155">
        <f>MAX(BE4,BE20,BE36,BE52,BE68,BE84)</f>
        <v>0.46302250803858525</v>
      </c>
      <c r="CA5" s="155">
        <f t="shared" ref="CA5:CC20" si="11">MAX(BF4,BF20,BF36,BF52,BF68,BF84)</f>
        <v>0.8192090395480226</v>
      </c>
      <c r="CB5" s="155">
        <f t="shared" si="11"/>
        <v>0.96153846153846156</v>
      </c>
      <c r="CC5" s="50">
        <f t="shared" si="11"/>
        <v>0.33333333333333337</v>
      </c>
      <c r="CD5" s="45"/>
      <c r="CE5" s="30"/>
      <c r="CF5" s="141" t="s">
        <v>40</v>
      </c>
      <c r="CG5" s="142"/>
      <c r="CH5" s="141" t="s">
        <v>41</v>
      </c>
      <c r="CI5" s="142"/>
      <c r="CJ5" s="141" t="s">
        <v>40</v>
      </c>
      <c r="CK5" s="142"/>
      <c r="CL5" s="141" t="s">
        <v>41</v>
      </c>
      <c r="CM5" s="142"/>
      <c r="CO5" s="38"/>
      <c r="CP5" s="51" t="s">
        <v>97</v>
      </c>
      <c r="CQ5" s="51" t="s">
        <v>98</v>
      </c>
      <c r="CR5" s="51" t="s">
        <v>97</v>
      </c>
      <c r="CS5" s="51" t="s">
        <v>98</v>
      </c>
      <c r="CT5" s="51" t="s">
        <v>99</v>
      </c>
      <c r="CU5" s="51" t="s">
        <v>100</v>
      </c>
      <c r="CV5" s="51" t="s">
        <v>99</v>
      </c>
      <c r="CW5" s="51" t="s">
        <v>100</v>
      </c>
      <c r="CY5" s="4" t="s">
        <v>2</v>
      </c>
      <c r="CZ5" s="14">
        <f t="shared" si="5"/>
        <v>2.4909786515923429E-2</v>
      </c>
      <c r="DA5" s="14">
        <f t="shared" si="5"/>
        <v>0.44100741056043563</v>
      </c>
      <c r="DB5" s="14">
        <f t="shared" si="5"/>
        <v>1.012707430325646E-2</v>
      </c>
      <c r="DC5" s="14">
        <f t="shared" si="5"/>
        <v>0.1922404735099463</v>
      </c>
      <c r="DE5" s="4" t="s">
        <v>2</v>
      </c>
      <c r="DF5" s="14">
        <f t="shared" si="6"/>
        <v>-0.16733068699402287</v>
      </c>
      <c r="DG5" s="14">
        <f t="shared" si="7"/>
        <v>0.4308803362571792</v>
      </c>
      <c r="DH5" s="49">
        <f t="shared" si="8"/>
        <v>0.23953235371504411</v>
      </c>
      <c r="DI5" s="49">
        <f t="shared" si="8"/>
        <v>1</v>
      </c>
      <c r="DK5" s="14"/>
      <c r="DM5" s="107">
        <f t="shared" ref="DM5:DM19" si="12">RANK(DH5,$DH$4:$DH$19,0)</f>
        <v>1</v>
      </c>
      <c r="DO5" s="14"/>
    </row>
    <row r="6" spans="1:119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111" t="s">
        <v>37</v>
      </c>
      <c r="U6" s="112">
        <v>4</v>
      </c>
      <c r="V6" s="112">
        <v>31</v>
      </c>
      <c r="W6" s="112">
        <v>1</v>
      </c>
      <c r="X6" s="112">
        <v>0</v>
      </c>
      <c r="Y6" s="113"/>
      <c r="Z6" s="113"/>
      <c r="AA6" s="113" t="s">
        <v>103</v>
      </c>
      <c r="AB6" s="113" t="s">
        <v>104</v>
      </c>
      <c r="AC6" s="113" t="s">
        <v>105</v>
      </c>
      <c r="AD6" s="122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79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4</v>
      </c>
      <c r="BE6" s="43">
        <f t="shared" si="9"/>
        <v>8.3601286173633493E-2</v>
      </c>
      <c r="BF6" s="44">
        <f t="shared" si="4"/>
        <v>0.90960451977401124</v>
      </c>
      <c r="BG6" s="44">
        <f t="shared" si="4"/>
        <v>1</v>
      </c>
      <c r="BH6" s="79">
        <f t="shared" si="4"/>
        <v>0</v>
      </c>
      <c r="BI6" s="45"/>
      <c r="BJ6" s="39" t="s">
        <v>2</v>
      </c>
      <c r="BK6" s="13">
        <f t="shared" ref="BK6:BK20" si="13">MIN(AM5,AM21,AM37,AM53,AM69,AM85)</f>
        <v>0.99356913183279738</v>
      </c>
      <c r="BL6" s="13">
        <f t="shared" ref="BL6:BL20" si="14">MIN(AN5,AN21,AN37,AN53,AN69,AN85)</f>
        <v>0.12429378531073447</v>
      </c>
      <c r="BM6" s="13">
        <f t="shared" ref="BM6:BM20" si="15">MIN(AO5,AO21,AO37,AO53,AO69,AO85)</f>
        <v>7.6923076923076927E-2</v>
      </c>
      <c r="BN6" s="13">
        <f t="shared" ref="BN6:BN20" si="16">MIN(AP5,AP21,AP37,AP53,AP69,AP85)</f>
        <v>0.88888888888888884</v>
      </c>
      <c r="BO6" s="13">
        <f t="shared" ref="BO6:BO20" si="17">MAX(AM5,AM21,AM37,AM53,AM69,AM85)</f>
        <v>1</v>
      </c>
      <c r="BP6" s="13">
        <f t="shared" ref="BP6:BP20" si="18">MAX(AN5,AN21,AN37,AN53,AN69,AN85)</f>
        <v>0.81355932203389836</v>
      </c>
      <c r="BQ6" s="13">
        <f t="shared" ref="BQ6:BQ20" si="19">MAX(AO5,AO21,AO37,AO53,AO69,AO85)</f>
        <v>1</v>
      </c>
      <c r="BR6" s="50">
        <f t="shared" ref="BR6:BR20" si="20">MAX(AP5,AP21,AP37,AP53,AP69,AP85)</f>
        <v>1</v>
      </c>
      <c r="BS6" s="45"/>
      <c r="BT6" s="45"/>
      <c r="BU6" s="39" t="s">
        <v>2</v>
      </c>
      <c r="BV6" s="134">
        <f t="shared" ref="BV6:BV20" si="21">MIN(BE5,BE21,BE37,BE53,BE69,BE85)</f>
        <v>0</v>
      </c>
      <c r="BW6" s="134">
        <f t="shared" si="10"/>
        <v>0.18644067796610164</v>
      </c>
      <c r="BX6" s="134">
        <f t="shared" si="10"/>
        <v>0</v>
      </c>
      <c r="BY6" s="134">
        <f t="shared" si="10"/>
        <v>0</v>
      </c>
      <c r="BZ6" s="155">
        <f t="shared" ref="BZ6:BZ20" si="22">MAX(BE5,BE21,BE37,BE53,BE69,BE85)</f>
        <v>6.4308681672026191E-3</v>
      </c>
      <c r="CA6" s="155">
        <f t="shared" si="11"/>
        <v>0.87570621468926557</v>
      </c>
      <c r="CB6" s="155">
        <f t="shared" si="11"/>
        <v>0.92307692307692313</v>
      </c>
      <c r="CC6" s="50">
        <f t="shared" si="11"/>
        <v>0.11111111111111116</v>
      </c>
      <c r="CD6" s="45"/>
      <c r="CE6" s="38"/>
      <c r="CF6" s="51" t="s">
        <v>97</v>
      </c>
      <c r="CG6" s="51" t="s">
        <v>98</v>
      </c>
      <c r="CH6" s="51" t="s">
        <v>97</v>
      </c>
      <c r="CI6" s="51" t="s">
        <v>98</v>
      </c>
      <c r="CJ6" s="51" t="s">
        <v>99</v>
      </c>
      <c r="CK6" s="51" t="s">
        <v>100</v>
      </c>
      <c r="CL6" s="51" t="s">
        <v>99</v>
      </c>
      <c r="CM6" s="51" t="s">
        <v>100</v>
      </c>
      <c r="CO6" s="4" t="s">
        <v>1</v>
      </c>
      <c r="CP6" s="13">
        <f>CF7*CF$4</f>
        <v>4.6628890531329554E-3</v>
      </c>
      <c r="CQ6" s="13">
        <f t="shared" ref="CQ6:CW21" si="23">CG7*CG$4</f>
        <v>5.2187730968218764E-2</v>
      </c>
      <c r="CR6" s="13">
        <f t="shared" si="23"/>
        <v>5.5842982672250875E-4</v>
      </c>
      <c r="CS6" s="13">
        <f t="shared" si="23"/>
        <v>7.6156688839615655E-2</v>
      </c>
      <c r="CT6" s="13">
        <f t="shared" si="23"/>
        <v>4.34227330779055E-2</v>
      </c>
      <c r="CU6" s="13">
        <f t="shared" si="23"/>
        <v>0.26940339354132459</v>
      </c>
      <c r="CV6" s="13">
        <f t="shared" si="23"/>
        <v>5.4278416347381876E-2</v>
      </c>
      <c r="CW6" s="13">
        <f t="shared" si="23"/>
        <v>0.25099206349206349</v>
      </c>
      <c r="CY6" s="4" t="s">
        <v>4</v>
      </c>
      <c r="CZ6" s="14">
        <f t="shared" si="5"/>
        <v>1.0374573268996818E-2</v>
      </c>
      <c r="DA6" s="14">
        <f t="shared" si="5"/>
        <v>0.13139416276999422</v>
      </c>
      <c r="DB6" s="14">
        <f t="shared" si="5"/>
        <v>0.11625251156613571</v>
      </c>
      <c r="DC6" s="14">
        <f t="shared" si="5"/>
        <v>0.36612996855620156</v>
      </c>
      <c r="DE6" s="4" t="s">
        <v>4</v>
      </c>
      <c r="DF6" s="14">
        <f t="shared" si="6"/>
        <v>-0.35575539528720473</v>
      </c>
      <c r="DG6" s="14">
        <f t="shared" si="7"/>
        <v>1.5141651203858505E-2</v>
      </c>
      <c r="DH6" s="49">
        <f t="shared" si="8"/>
        <v>0</v>
      </c>
      <c r="DI6" s="49">
        <f t="shared" si="8"/>
        <v>0.47149783771313003</v>
      </c>
      <c r="DK6" s="14"/>
      <c r="DM6" s="107">
        <f t="shared" si="12"/>
        <v>16</v>
      </c>
      <c r="DO6" s="14"/>
    </row>
    <row r="7" spans="1:119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111" t="s">
        <v>107</v>
      </c>
      <c r="U7" s="112">
        <v>5</v>
      </c>
      <c r="V7" s="112">
        <v>33</v>
      </c>
      <c r="W7" s="112">
        <v>1</v>
      </c>
      <c r="X7" s="112">
        <v>0</v>
      </c>
      <c r="Y7" s="113"/>
      <c r="Z7" s="113"/>
      <c r="AA7" s="113"/>
      <c r="AB7" s="113"/>
      <c r="AC7" s="113"/>
      <c r="AD7" s="122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79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5</v>
      </c>
      <c r="BE7" s="43">
        <f t="shared" si="9"/>
        <v>6.1093247588424382E-2</v>
      </c>
      <c r="BF7" s="44">
        <f t="shared" si="4"/>
        <v>0.86440677966101698</v>
      </c>
      <c r="BG7" s="44">
        <f t="shared" si="4"/>
        <v>1</v>
      </c>
      <c r="BH7" s="79">
        <f t="shared" si="4"/>
        <v>0.22222222222222221</v>
      </c>
      <c r="BI7" s="45"/>
      <c r="BJ7" s="39" t="s">
        <v>4</v>
      </c>
      <c r="BK7" s="13">
        <f t="shared" si="13"/>
        <v>0.74919614147909963</v>
      </c>
      <c r="BL7" s="13">
        <f t="shared" si="14"/>
        <v>4.519774011299435E-2</v>
      </c>
      <c r="BM7" s="13">
        <f t="shared" si="15"/>
        <v>0</v>
      </c>
      <c r="BN7" s="13">
        <f t="shared" si="16"/>
        <v>0.77777777777777779</v>
      </c>
      <c r="BO7" s="13">
        <f t="shared" si="17"/>
        <v>0.95176848874598075</v>
      </c>
      <c r="BP7" s="13">
        <f t="shared" si="18"/>
        <v>0.12994350282485875</v>
      </c>
      <c r="BQ7" s="13">
        <f t="shared" si="19"/>
        <v>7.6923076923076927E-2</v>
      </c>
      <c r="BR7" s="50">
        <f t="shared" si="20"/>
        <v>1</v>
      </c>
      <c r="BS7" s="45"/>
      <c r="BT7" s="45"/>
      <c r="BU7" s="39" t="s">
        <v>4</v>
      </c>
      <c r="BV7" s="134">
        <f t="shared" si="21"/>
        <v>4.8231511254019255E-2</v>
      </c>
      <c r="BW7" s="134">
        <f t="shared" si="10"/>
        <v>0.87005649717514122</v>
      </c>
      <c r="BX7" s="134">
        <f t="shared" si="10"/>
        <v>0.92307692307692313</v>
      </c>
      <c r="BY7" s="134">
        <f t="shared" si="10"/>
        <v>0</v>
      </c>
      <c r="BZ7" s="155">
        <f t="shared" si="22"/>
        <v>0.25080385852090037</v>
      </c>
      <c r="CA7" s="155">
        <f t="shared" si="11"/>
        <v>0.95480225988700562</v>
      </c>
      <c r="CB7" s="155">
        <f t="shared" si="11"/>
        <v>1</v>
      </c>
      <c r="CC7" s="50">
        <f t="shared" si="11"/>
        <v>0.22222222222222221</v>
      </c>
      <c r="CD7" s="45"/>
      <c r="CE7" s="4" t="s">
        <v>1</v>
      </c>
      <c r="CF7" s="128">
        <f>BK23</f>
        <v>0.37028824833702878</v>
      </c>
      <c r="CG7" s="129">
        <f>BO23</f>
        <v>0.68070953436807091</v>
      </c>
      <c r="CH7" s="129">
        <f>BK41</f>
        <v>8.8691796008869041E-3</v>
      </c>
      <c r="CI7" s="129">
        <f>BO41</f>
        <v>0.31929046563192903</v>
      </c>
      <c r="CJ7" s="129">
        <f>BL23</f>
        <v>0.126984126984127</v>
      </c>
      <c r="CK7" s="129">
        <f>BP23</f>
        <v>0.42460317460317465</v>
      </c>
      <c r="CL7" s="129">
        <f>BL41</f>
        <v>0.27777777777777785</v>
      </c>
      <c r="CM7" s="130">
        <f>BP41</f>
        <v>0.57539682539682546</v>
      </c>
      <c r="CO7" s="4" t="s">
        <v>2</v>
      </c>
      <c r="CP7" s="13">
        <f t="shared" ref="CP7:CP21" si="24">CF8*CF$4</f>
        <v>1.243166489172879E-2</v>
      </c>
      <c r="CQ7" s="13">
        <f t="shared" si="23"/>
        <v>7.6176783812566554E-2</v>
      </c>
      <c r="CR7" s="13">
        <f t="shared" si="23"/>
        <v>0</v>
      </c>
      <c r="CS7" s="13">
        <f t="shared" si="23"/>
        <v>1.5240799905336755E-3</v>
      </c>
      <c r="CT7" s="13">
        <f t="shared" si="23"/>
        <v>2.5160496674739557E-2</v>
      </c>
      <c r="CU7" s="13">
        <f t="shared" si="23"/>
        <v>0.30557029177718831</v>
      </c>
      <c r="CV7" s="13">
        <f t="shared" si="23"/>
        <v>2.1566140006919608E-2</v>
      </c>
      <c r="CW7" s="13">
        <f t="shared" si="23"/>
        <v>0.22612732095490712</v>
      </c>
      <c r="CY7" s="4" t="s">
        <v>5</v>
      </c>
      <c r="CZ7" s="14">
        <f t="shared" si="5"/>
        <v>2.0875115369771748E-2</v>
      </c>
      <c r="DA7" s="14">
        <f t="shared" si="5"/>
        <v>0.2076152767710614</v>
      </c>
      <c r="DB7" s="14">
        <f t="shared" si="5"/>
        <v>7.6313426941918311E-2</v>
      </c>
      <c r="DC7" s="14">
        <f t="shared" si="5"/>
        <v>0.30425608715405988</v>
      </c>
      <c r="DE7" s="4" t="s">
        <v>5</v>
      </c>
      <c r="DF7" s="14">
        <f t="shared" si="6"/>
        <v>-0.28338097178428812</v>
      </c>
      <c r="DG7" s="14">
        <f t="shared" si="7"/>
        <v>0.13130184982914309</v>
      </c>
      <c r="DH7" s="49">
        <f t="shared" si="8"/>
        <v>9.2005003841899691E-2</v>
      </c>
      <c r="DI7" s="49">
        <f t="shared" si="8"/>
        <v>0.61916491405764074</v>
      </c>
      <c r="DK7" s="14"/>
      <c r="DM7" s="107">
        <f t="shared" si="12"/>
        <v>7</v>
      </c>
      <c r="DO7" s="14"/>
    </row>
    <row r="8" spans="1:119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111"/>
      <c r="U8" s="112">
        <v>9</v>
      </c>
      <c r="V8" s="112">
        <v>38</v>
      </c>
      <c r="W8" s="112">
        <v>1</v>
      </c>
      <c r="X8" s="112">
        <v>0</v>
      </c>
      <c r="Y8" s="113"/>
      <c r="Z8" s="113"/>
      <c r="AA8" s="113"/>
      <c r="AB8" s="113"/>
      <c r="AC8" s="113"/>
      <c r="AD8" s="122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79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6</v>
      </c>
      <c r="BE8" s="43">
        <f t="shared" si="9"/>
        <v>6.4308681672025747E-2</v>
      </c>
      <c r="BF8" s="44">
        <f t="shared" si="4"/>
        <v>0.5536723163841808</v>
      </c>
      <c r="BG8" s="44">
        <f t="shared" si="4"/>
        <v>0.96153846153846156</v>
      </c>
      <c r="BH8" s="79">
        <f t="shared" si="4"/>
        <v>0</v>
      </c>
      <c r="BI8" s="45"/>
      <c r="BJ8" s="39" t="s">
        <v>5</v>
      </c>
      <c r="BK8" s="13">
        <f t="shared" si="13"/>
        <v>0.89067524115755625</v>
      </c>
      <c r="BL8" s="13">
        <f t="shared" si="14"/>
        <v>0.13559322033898305</v>
      </c>
      <c r="BM8" s="13">
        <f t="shared" si="15"/>
        <v>0</v>
      </c>
      <c r="BN8" s="13">
        <f t="shared" si="16"/>
        <v>0.77777777777777779</v>
      </c>
      <c r="BO8" s="13">
        <f t="shared" si="17"/>
        <v>0.98392282958199362</v>
      </c>
      <c r="BP8" s="13">
        <f t="shared" si="18"/>
        <v>0.49152542372881358</v>
      </c>
      <c r="BQ8" s="13">
        <f t="shared" si="19"/>
        <v>7.6923076923076927E-2</v>
      </c>
      <c r="BR8" s="50">
        <f t="shared" si="20"/>
        <v>1</v>
      </c>
      <c r="BS8" s="45"/>
      <c r="BT8" s="45"/>
      <c r="BU8" s="39" t="s">
        <v>5</v>
      </c>
      <c r="BV8" s="134">
        <f t="shared" si="21"/>
        <v>1.6077170418006381E-2</v>
      </c>
      <c r="BW8" s="134">
        <f t="shared" si="10"/>
        <v>0.50847457627118642</v>
      </c>
      <c r="BX8" s="134">
        <f t="shared" si="10"/>
        <v>0.92307692307692313</v>
      </c>
      <c r="BY8" s="134">
        <f t="shared" si="10"/>
        <v>0</v>
      </c>
      <c r="BZ8" s="155">
        <f t="shared" si="22"/>
        <v>0.10932475884244375</v>
      </c>
      <c r="CA8" s="155">
        <f t="shared" si="11"/>
        <v>0.86440677966101698</v>
      </c>
      <c r="CB8" s="155">
        <f t="shared" si="11"/>
        <v>1</v>
      </c>
      <c r="CC8" s="50">
        <f t="shared" si="11"/>
        <v>0.22222222222222221</v>
      </c>
      <c r="CD8" s="45"/>
      <c r="CE8" s="4" t="s">
        <v>2</v>
      </c>
      <c r="CF8" s="131">
        <f t="shared" ref="CF8:CF22" si="25">BK24</f>
        <v>0.9872204472843451</v>
      </c>
      <c r="CG8" s="13">
        <f t="shared" ref="CG8:CG22" si="26">BO24</f>
        <v>0.99361022364217255</v>
      </c>
      <c r="CH8" s="13">
        <f t="shared" ref="CH8:CH22" si="27">BK42</f>
        <v>0</v>
      </c>
      <c r="CI8" s="13">
        <f t="shared" ref="CI8:CI22" si="28">BO42</f>
        <v>6.3897763578275226E-3</v>
      </c>
      <c r="CJ8" s="13">
        <f t="shared" ref="CJ8:CJ21" si="29">BL24</f>
        <v>7.3578595317725759E-2</v>
      </c>
      <c r="CK8" s="13">
        <f t="shared" ref="CK8:CK22" si="30">BP24</f>
        <v>0.48160535117056857</v>
      </c>
      <c r="CL8" s="13">
        <f t="shared" ref="CL8:CL22" si="31">BL42</f>
        <v>0.1103678929765886</v>
      </c>
      <c r="CM8" s="125">
        <f t="shared" ref="CM8:CM22" si="32">BP42</f>
        <v>0.51839464882943143</v>
      </c>
      <c r="CO8" s="4" t="s">
        <v>4</v>
      </c>
      <c r="CP8" s="13">
        <f t="shared" si="24"/>
        <v>7.8451178451178442E-3</v>
      </c>
      <c r="CQ8" s="13">
        <f t="shared" si="23"/>
        <v>6.0677361853832441E-2</v>
      </c>
      <c r="CR8" s="13">
        <f t="shared" si="23"/>
        <v>2.5252525252525229E-3</v>
      </c>
      <c r="CS8" s="13">
        <f t="shared" si="23"/>
        <v>4.9744503862150929E-2</v>
      </c>
      <c r="CT8" s="13">
        <f t="shared" si="23"/>
        <v>1.4248084291187738E-2</v>
      </c>
      <c r="CU8" s="13">
        <f t="shared" si="23"/>
        <v>7.6005747126436762E-2</v>
      </c>
      <c r="CV8" s="13">
        <f t="shared" si="23"/>
        <v>0.15672892720306511</v>
      </c>
      <c r="CW8" s="13">
        <f t="shared" si="23"/>
        <v>0.38395294540229874</v>
      </c>
      <c r="CY8" s="4" t="s">
        <v>6</v>
      </c>
      <c r="CZ8" s="14">
        <f t="shared" si="5"/>
        <v>4.9800904359584341E-2</v>
      </c>
      <c r="DA8" s="14">
        <f t="shared" si="5"/>
        <v>0.26694201664447098</v>
      </c>
      <c r="DB8" s="14">
        <f t="shared" si="5"/>
        <v>6.17299803040878E-2</v>
      </c>
      <c r="DC8" s="14">
        <f t="shared" si="5"/>
        <v>0.27420938210931911</v>
      </c>
      <c r="DE8" s="4" t="s">
        <v>6</v>
      </c>
      <c r="DF8" s="14">
        <f t="shared" si="6"/>
        <v>-0.22440847774973477</v>
      </c>
      <c r="DG8" s="14">
        <f t="shared" si="7"/>
        <v>0.20521203634038318</v>
      </c>
      <c r="DH8" s="49">
        <f t="shared" si="8"/>
        <v>0.16697298669563301</v>
      </c>
      <c r="DI8" s="49">
        <f t="shared" si="8"/>
        <v>0.71312223578536582</v>
      </c>
      <c r="DK8" s="14"/>
      <c r="DM8" s="107">
        <f t="shared" si="12"/>
        <v>3</v>
      </c>
      <c r="DO8" s="14"/>
    </row>
    <row r="9" spans="1:119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111"/>
      <c r="U9" s="112">
        <v>10</v>
      </c>
      <c r="V9" s="112">
        <v>40</v>
      </c>
      <c r="W9" s="112">
        <v>1</v>
      </c>
      <c r="X9" s="112">
        <v>1</v>
      </c>
      <c r="Y9" s="113"/>
      <c r="Z9" s="113"/>
      <c r="AA9" s="113"/>
      <c r="AB9" s="113"/>
      <c r="AC9" s="113"/>
      <c r="AD9" s="122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79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8</v>
      </c>
      <c r="BE9" s="43">
        <f t="shared" si="9"/>
        <v>7.395498392282962E-2</v>
      </c>
      <c r="BF9" s="44">
        <f t="shared" si="4"/>
        <v>0.64971751412429379</v>
      </c>
      <c r="BG9" s="44">
        <f t="shared" si="4"/>
        <v>0.92307692307692313</v>
      </c>
      <c r="BH9" s="79">
        <f t="shared" si="4"/>
        <v>0</v>
      </c>
      <c r="BI9" s="45"/>
      <c r="BJ9" s="39" t="s">
        <v>6</v>
      </c>
      <c r="BK9" s="13">
        <f t="shared" si="13"/>
        <v>0.81672025723472674</v>
      </c>
      <c r="BL9" s="13">
        <f t="shared" si="14"/>
        <v>0.3728813559322034</v>
      </c>
      <c r="BM9" s="13">
        <f t="shared" si="15"/>
        <v>0</v>
      </c>
      <c r="BN9" s="13">
        <f t="shared" si="16"/>
        <v>0.77777777777777779</v>
      </c>
      <c r="BO9" s="13">
        <f t="shared" si="17"/>
        <v>0.93569131832797425</v>
      </c>
      <c r="BP9" s="13">
        <f t="shared" si="18"/>
        <v>0.68926553672316382</v>
      </c>
      <c r="BQ9" s="13">
        <f t="shared" si="19"/>
        <v>0.11538461538461539</v>
      </c>
      <c r="BR9" s="50">
        <f t="shared" si="20"/>
        <v>1</v>
      </c>
      <c r="BS9" s="45"/>
      <c r="BT9" s="45"/>
      <c r="BU9" s="39" t="s">
        <v>6</v>
      </c>
      <c r="BV9" s="134">
        <f t="shared" si="21"/>
        <v>6.4308681672025747E-2</v>
      </c>
      <c r="BW9" s="134">
        <f t="shared" si="10"/>
        <v>0.31073446327683618</v>
      </c>
      <c r="BX9" s="134">
        <f t="shared" si="10"/>
        <v>0.88461538461538458</v>
      </c>
      <c r="BY9" s="134">
        <f t="shared" si="10"/>
        <v>0</v>
      </c>
      <c r="BZ9" s="155">
        <f t="shared" si="22"/>
        <v>0.18327974276527326</v>
      </c>
      <c r="CA9" s="155">
        <f t="shared" si="11"/>
        <v>0.6271186440677966</v>
      </c>
      <c r="CB9" s="155">
        <f t="shared" si="11"/>
        <v>1</v>
      </c>
      <c r="CC9" s="50">
        <f t="shared" si="11"/>
        <v>0.22222222222222221</v>
      </c>
      <c r="CD9" s="45"/>
      <c r="CE9" s="4" t="s">
        <v>4</v>
      </c>
      <c r="CF9" s="131">
        <f t="shared" si="25"/>
        <v>0.62299465240641705</v>
      </c>
      <c r="CG9" s="13">
        <f t="shared" si="26"/>
        <v>0.79144385026737973</v>
      </c>
      <c r="CH9" s="13">
        <f t="shared" si="27"/>
        <v>4.010695187165772E-2</v>
      </c>
      <c r="CI9" s="13">
        <f t="shared" si="28"/>
        <v>0.20855614973262038</v>
      </c>
      <c r="CJ9" s="13">
        <f t="shared" si="29"/>
        <v>4.1666666666666664E-2</v>
      </c>
      <c r="CK9" s="13">
        <f t="shared" si="30"/>
        <v>0.11979166666666666</v>
      </c>
      <c r="CL9" s="13">
        <f t="shared" si="31"/>
        <v>0.80208333333333326</v>
      </c>
      <c r="CM9" s="125">
        <f t="shared" si="32"/>
        <v>0.88020833333333326</v>
      </c>
      <c r="CO9" s="4" t="s">
        <v>5</v>
      </c>
      <c r="CP9" s="13">
        <f t="shared" si="24"/>
        <v>1.025925925925926E-2</v>
      </c>
      <c r="CQ9" s="13">
        <f t="shared" si="23"/>
        <v>6.9000000000000006E-2</v>
      </c>
      <c r="CR9" s="13">
        <f t="shared" si="23"/>
        <v>9.2592592592592303E-4</v>
      </c>
      <c r="CS9" s="13">
        <f t="shared" si="23"/>
        <v>2.3851851851851853E-2</v>
      </c>
      <c r="CT9" s="13">
        <f t="shared" si="23"/>
        <v>3.4195402298850576E-2</v>
      </c>
      <c r="CU9" s="13">
        <f t="shared" si="23"/>
        <v>0.23</v>
      </c>
      <c r="CV9" s="13">
        <f t="shared" si="23"/>
        <v>7.3275862068965511E-2</v>
      </c>
      <c r="CW9" s="13">
        <f t="shared" si="23"/>
        <v>0.27808189655172411</v>
      </c>
      <c r="CY9" s="4" t="s">
        <v>8</v>
      </c>
      <c r="CZ9" s="14">
        <f t="shared" si="5"/>
        <v>3.0485263480423585E-2</v>
      </c>
      <c r="DA9" s="14">
        <f t="shared" si="5"/>
        <v>0.18577947331501818</v>
      </c>
      <c r="DB9" s="14">
        <f t="shared" si="5"/>
        <v>9.3565562314602738E-2</v>
      </c>
      <c r="DC9" s="14">
        <f t="shared" si="5"/>
        <v>0.33355548716806788</v>
      </c>
      <c r="DE9" s="4" t="s">
        <v>8</v>
      </c>
      <c r="DF9" s="14">
        <f t="shared" si="6"/>
        <v>-0.3030702236876443</v>
      </c>
      <c r="DG9" s="14">
        <f t="shared" si="7"/>
        <v>9.2213911000415441E-2</v>
      </c>
      <c r="DH9" s="49">
        <f t="shared" si="8"/>
        <v>6.6975309519852144E-2</v>
      </c>
      <c r="DI9" s="49">
        <f t="shared" si="8"/>
        <v>0.56947490219918218</v>
      </c>
      <c r="DK9" s="14"/>
      <c r="DM9" s="107">
        <f t="shared" si="12"/>
        <v>9</v>
      </c>
      <c r="DO9" s="14"/>
    </row>
    <row r="10" spans="1:119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111"/>
      <c r="U10" s="112">
        <v>12</v>
      </c>
      <c r="V10" s="112">
        <v>52</v>
      </c>
      <c r="W10" s="112">
        <v>1</v>
      </c>
      <c r="X10" s="112">
        <v>1</v>
      </c>
      <c r="Y10" s="113"/>
      <c r="Z10" s="113"/>
      <c r="AA10" s="113"/>
      <c r="AB10" s="113"/>
      <c r="AC10" s="113"/>
      <c r="AD10" s="122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79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9</v>
      </c>
      <c r="BE10" s="43">
        <f t="shared" si="9"/>
        <v>6.4308681672025747E-2</v>
      </c>
      <c r="BF10" s="44">
        <f t="shared" si="4"/>
        <v>0.83050847457627119</v>
      </c>
      <c r="BG10" s="44">
        <f t="shared" si="4"/>
        <v>0.92307692307692313</v>
      </c>
      <c r="BH10" s="79">
        <f t="shared" si="4"/>
        <v>0.11111111111111116</v>
      </c>
      <c r="BI10" s="45"/>
      <c r="BJ10" s="39" t="s">
        <v>8</v>
      </c>
      <c r="BK10" s="13">
        <f t="shared" si="13"/>
        <v>0.87781350482315113</v>
      </c>
      <c r="BL10" s="13">
        <f t="shared" si="14"/>
        <v>0.1864406779661017</v>
      </c>
      <c r="BM10" s="13">
        <f t="shared" si="15"/>
        <v>0</v>
      </c>
      <c r="BN10" s="13">
        <f t="shared" si="16"/>
        <v>0.66666666666666663</v>
      </c>
      <c r="BO10" s="13">
        <f t="shared" si="17"/>
        <v>0.96784565916398713</v>
      </c>
      <c r="BP10" s="13">
        <f t="shared" si="18"/>
        <v>0.35028248587570621</v>
      </c>
      <c r="BQ10" s="13">
        <f t="shared" si="19"/>
        <v>7.6923076923076927E-2</v>
      </c>
      <c r="BR10" s="50">
        <f t="shared" si="20"/>
        <v>1</v>
      </c>
      <c r="BS10" s="45"/>
      <c r="BT10" s="45"/>
      <c r="BU10" s="39" t="s">
        <v>8</v>
      </c>
      <c r="BV10" s="134">
        <f t="shared" si="21"/>
        <v>3.2154340836012874E-2</v>
      </c>
      <c r="BW10" s="134">
        <f t="shared" si="10"/>
        <v>0.64971751412429379</v>
      </c>
      <c r="BX10" s="134">
        <f t="shared" si="10"/>
        <v>0.92307692307692313</v>
      </c>
      <c r="BY10" s="134">
        <f t="shared" si="10"/>
        <v>0</v>
      </c>
      <c r="BZ10" s="155">
        <f t="shared" si="22"/>
        <v>0.12218649517684887</v>
      </c>
      <c r="CA10" s="155">
        <f t="shared" si="11"/>
        <v>0.81355932203389836</v>
      </c>
      <c r="CB10" s="155">
        <f t="shared" si="11"/>
        <v>1</v>
      </c>
      <c r="CC10" s="50">
        <f t="shared" si="11"/>
        <v>0.33333333333333337</v>
      </c>
      <c r="CD10" s="45"/>
      <c r="CE10" s="4" t="s">
        <v>5</v>
      </c>
      <c r="CF10" s="131">
        <f t="shared" si="25"/>
        <v>0.81470588235294117</v>
      </c>
      <c r="CG10" s="13">
        <f t="shared" si="26"/>
        <v>0.90000000000000013</v>
      </c>
      <c r="CH10" s="13">
        <f t="shared" si="27"/>
        <v>1.4705882352941131E-2</v>
      </c>
      <c r="CI10" s="13">
        <f t="shared" si="28"/>
        <v>0.10000000000000002</v>
      </c>
      <c r="CJ10" s="13">
        <f t="shared" si="29"/>
        <v>0.1</v>
      </c>
      <c r="CK10" s="13">
        <f t="shared" si="30"/>
        <v>0.36250000000000004</v>
      </c>
      <c r="CL10" s="13">
        <f t="shared" si="31"/>
        <v>0.375</v>
      </c>
      <c r="CM10" s="125">
        <f t="shared" si="32"/>
        <v>0.63750000000000007</v>
      </c>
      <c r="CO10" s="4" t="s">
        <v>6</v>
      </c>
      <c r="CP10" s="13">
        <f t="shared" si="24"/>
        <v>9.1911451681566635E-3</v>
      </c>
      <c r="CQ10" s="13">
        <f t="shared" si="23"/>
        <v>6.4109195402298855E-2</v>
      </c>
      <c r="CR10" s="13">
        <f t="shared" si="23"/>
        <v>3.6185610898254589E-3</v>
      </c>
      <c r="CS10" s="13">
        <f t="shared" si="23"/>
        <v>3.9067688378033191E-2</v>
      </c>
      <c r="CT10" s="13">
        <f t="shared" si="23"/>
        <v>9.6862512949533797E-2</v>
      </c>
      <c r="CU10" s="13">
        <f t="shared" si="23"/>
        <v>0.33221844013615504</v>
      </c>
      <c r="CV10" s="13">
        <f t="shared" si="23"/>
        <v>4.6125006166444667E-2</v>
      </c>
      <c r="CW10" s="13">
        <f t="shared" si="23"/>
        <v>0.20780671895811745</v>
      </c>
      <c r="CY10" s="4" t="s">
        <v>9</v>
      </c>
      <c r="CZ10" s="14">
        <f t="shared" si="5"/>
        <v>1.5034918805740047E-2</v>
      </c>
      <c r="DA10" s="14">
        <f t="shared" si="5"/>
        <v>0.25254628667854495</v>
      </c>
      <c r="DB10" s="14">
        <f t="shared" si="5"/>
        <v>3.9824177859411641E-2</v>
      </c>
      <c r="DC10" s="14">
        <f t="shared" si="5"/>
        <v>0.35643258651194742</v>
      </c>
      <c r="DE10" s="4" t="s">
        <v>9</v>
      </c>
      <c r="DF10" s="14">
        <f t="shared" si="6"/>
        <v>-0.34139766770620739</v>
      </c>
      <c r="DG10" s="14">
        <f t="shared" si="7"/>
        <v>0.21272210881913331</v>
      </c>
      <c r="DH10" s="49">
        <f t="shared" si="8"/>
        <v>1.8252066369791198E-2</v>
      </c>
      <c r="DI10" s="49">
        <f t="shared" si="8"/>
        <v>0.72266931352108699</v>
      </c>
      <c r="DK10" s="14"/>
      <c r="DM10" s="107">
        <f t="shared" si="12"/>
        <v>12</v>
      </c>
      <c r="DO10" s="14"/>
    </row>
    <row r="11" spans="1:119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111"/>
      <c r="U11" s="112">
        <v>20</v>
      </c>
      <c r="V11" s="112">
        <v>54</v>
      </c>
      <c r="W11" s="112">
        <v>1</v>
      </c>
      <c r="X11" s="112">
        <v>1</v>
      </c>
      <c r="Y11" s="113"/>
      <c r="Z11" s="113"/>
      <c r="AA11" s="113"/>
      <c r="AB11" s="113"/>
      <c r="AC11" s="113"/>
      <c r="AD11" s="122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79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10</v>
      </c>
      <c r="BE11" s="43">
        <f t="shared" si="9"/>
        <v>0.12218649517684887</v>
      </c>
      <c r="BF11" s="44">
        <f t="shared" si="4"/>
        <v>0.83050847457627119</v>
      </c>
      <c r="BG11" s="44">
        <f t="shared" si="4"/>
        <v>0.96153846153846156</v>
      </c>
      <c r="BH11" s="79">
        <f t="shared" si="4"/>
        <v>0.33333333333333337</v>
      </c>
      <c r="BI11" s="45"/>
      <c r="BJ11" s="39" t="s">
        <v>9</v>
      </c>
      <c r="BK11" s="13">
        <f t="shared" si="13"/>
        <v>0.62700964630225076</v>
      </c>
      <c r="BL11" s="13">
        <f t="shared" si="14"/>
        <v>0.14124293785310735</v>
      </c>
      <c r="BM11" s="13">
        <f t="shared" si="15"/>
        <v>0</v>
      </c>
      <c r="BN11" s="13">
        <f t="shared" si="16"/>
        <v>0</v>
      </c>
      <c r="BO11" s="13">
        <f t="shared" si="17"/>
        <v>0.93569131832797425</v>
      </c>
      <c r="BP11" s="13">
        <f t="shared" si="18"/>
        <v>1</v>
      </c>
      <c r="BQ11" s="13">
        <f t="shared" si="19"/>
        <v>0.11538461538461539</v>
      </c>
      <c r="BR11" s="50">
        <f t="shared" si="20"/>
        <v>1</v>
      </c>
      <c r="BS11" s="45"/>
      <c r="BT11" s="45"/>
      <c r="BU11" s="39" t="s">
        <v>9</v>
      </c>
      <c r="BV11" s="134">
        <f t="shared" si="21"/>
        <v>6.4308681672025747E-2</v>
      </c>
      <c r="BW11" s="134">
        <f t="shared" si="10"/>
        <v>0</v>
      </c>
      <c r="BX11" s="134">
        <f t="shared" si="10"/>
        <v>0.88461538461538458</v>
      </c>
      <c r="BY11" s="134">
        <f t="shared" si="10"/>
        <v>0</v>
      </c>
      <c r="BZ11" s="155">
        <f t="shared" si="22"/>
        <v>0.37299035369774924</v>
      </c>
      <c r="CA11" s="155">
        <f t="shared" si="11"/>
        <v>0.85875706214689262</v>
      </c>
      <c r="CB11" s="155">
        <f t="shared" si="11"/>
        <v>1</v>
      </c>
      <c r="CC11" s="50">
        <f t="shared" si="11"/>
        <v>1</v>
      </c>
      <c r="CD11" s="45"/>
      <c r="CE11" s="4" t="s">
        <v>6</v>
      </c>
      <c r="CF11" s="131">
        <f t="shared" si="25"/>
        <v>0.72988505747126442</v>
      </c>
      <c r="CG11" s="13">
        <f t="shared" si="26"/>
        <v>0.8362068965517242</v>
      </c>
      <c r="CH11" s="13">
        <f t="shared" si="27"/>
        <v>5.7471264367816119E-2</v>
      </c>
      <c r="CI11" s="13">
        <f t="shared" si="28"/>
        <v>0.16379310344827583</v>
      </c>
      <c r="CJ11" s="13">
        <f t="shared" si="29"/>
        <v>0.28326180257510725</v>
      </c>
      <c r="CK11" s="13">
        <f t="shared" si="30"/>
        <v>0.5236051502145922</v>
      </c>
      <c r="CL11" s="13">
        <f t="shared" si="31"/>
        <v>0.23605150214592274</v>
      </c>
      <c r="CM11" s="125">
        <f t="shared" si="32"/>
        <v>0.47639484978540764</v>
      </c>
      <c r="CO11" s="4" t="s">
        <v>8</v>
      </c>
      <c r="CP11" s="13">
        <f t="shared" si="24"/>
        <v>1.0140937397574566E-2</v>
      </c>
      <c r="CQ11" s="13">
        <f t="shared" si="23"/>
        <v>6.807276302851524E-2</v>
      </c>
      <c r="CR11" s="13">
        <f t="shared" si="23"/>
        <v>1.8573145416803237E-3</v>
      </c>
      <c r="CS11" s="13">
        <f t="shared" si="23"/>
        <v>2.67365890964711E-2</v>
      </c>
      <c r="CT11" s="13">
        <f t="shared" si="23"/>
        <v>5.4779042517576156E-2</v>
      </c>
      <c r="CU11" s="13">
        <f t="shared" si="23"/>
        <v>0.19096083026447938</v>
      </c>
      <c r="CV11" s="13">
        <f t="shared" si="23"/>
        <v>0.10908380761075771</v>
      </c>
      <c r="CW11" s="13">
        <f t="shared" si="23"/>
        <v>0.30492132574489444</v>
      </c>
      <c r="CY11" s="4" t="s">
        <v>10</v>
      </c>
      <c r="CZ11" s="14">
        <f t="shared" si="5"/>
        <v>3.145457674115737E-2</v>
      </c>
      <c r="DA11" s="14">
        <f t="shared" si="5"/>
        <v>0.24267271005706892</v>
      </c>
      <c r="DB11" s="14">
        <f t="shared" si="5"/>
        <v>9.1818697167683316E-2</v>
      </c>
      <c r="DC11" s="14">
        <f t="shared" si="5"/>
        <v>0.38694021208807633</v>
      </c>
      <c r="DE11" s="4" t="s">
        <v>10</v>
      </c>
      <c r="DF11" s="14">
        <f t="shared" si="6"/>
        <v>-0.35548563534691896</v>
      </c>
      <c r="DG11" s="14">
        <f t="shared" si="7"/>
        <v>0.1508540128893856</v>
      </c>
      <c r="DH11" s="49">
        <f t="shared" si="8"/>
        <v>3.4292866376176516E-4</v>
      </c>
      <c r="DI11" s="49">
        <f t="shared" si="8"/>
        <v>0.64402033604801523</v>
      </c>
      <c r="DK11" s="14"/>
      <c r="DM11" s="107">
        <f t="shared" si="12"/>
        <v>15</v>
      </c>
      <c r="DO11" s="14"/>
    </row>
    <row r="12" spans="1:119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111"/>
      <c r="U12" s="112">
        <v>20</v>
      </c>
      <c r="V12" s="112">
        <v>56</v>
      </c>
      <c r="W12" s="112">
        <v>2</v>
      </c>
      <c r="X12" s="112">
        <v>1</v>
      </c>
      <c r="Y12" s="113"/>
      <c r="Z12" s="113"/>
      <c r="AA12" s="113"/>
      <c r="AB12" s="113"/>
      <c r="AC12" s="113"/>
      <c r="AD12" s="122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79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11</v>
      </c>
      <c r="BE12" s="43">
        <f t="shared" si="9"/>
        <v>0</v>
      </c>
      <c r="BF12" s="44">
        <f t="shared" si="4"/>
        <v>0.6271186440677966</v>
      </c>
      <c r="BG12" s="44">
        <f t="shared" si="4"/>
        <v>1</v>
      </c>
      <c r="BH12" s="79">
        <f t="shared" si="4"/>
        <v>0</v>
      </c>
      <c r="BI12" s="45"/>
      <c r="BJ12" s="39" t="s">
        <v>10</v>
      </c>
      <c r="BK12" s="13">
        <f t="shared" si="13"/>
        <v>0.54019292604501612</v>
      </c>
      <c r="BL12" s="13">
        <f t="shared" si="14"/>
        <v>0.16949152542372881</v>
      </c>
      <c r="BM12" s="13">
        <f t="shared" si="15"/>
        <v>3.8461538461538464E-2</v>
      </c>
      <c r="BN12" s="13">
        <f t="shared" si="16"/>
        <v>0.33333333333333331</v>
      </c>
      <c r="BO12" s="13">
        <f t="shared" si="17"/>
        <v>0.87781350482315113</v>
      </c>
      <c r="BP12" s="13">
        <f t="shared" si="18"/>
        <v>0.31638418079096048</v>
      </c>
      <c r="BQ12" s="13">
        <f t="shared" si="19"/>
        <v>0.34615384615384615</v>
      </c>
      <c r="BR12" s="50">
        <f t="shared" si="20"/>
        <v>0.77777777777777779</v>
      </c>
      <c r="BS12" s="45"/>
      <c r="BT12" s="45"/>
      <c r="BU12" s="39" t="s">
        <v>10</v>
      </c>
      <c r="BV12" s="134">
        <f t="shared" si="21"/>
        <v>0.12218649517684887</v>
      </c>
      <c r="BW12" s="134">
        <f t="shared" si="10"/>
        <v>0.68361581920903958</v>
      </c>
      <c r="BX12" s="134">
        <f t="shared" si="10"/>
        <v>0.65384615384615385</v>
      </c>
      <c r="BY12" s="134">
        <f t="shared" si="10"/>
        <v>0.22222222222222221</v>
      </c>
      <c r="BZ12" s="155">
        <f t="shared" si="22"/>
        <v>0.45980707395498388</v>
      </c>
      <c r="CA12" s="155">
        <f t="shared" si="11"/>
        <v>0.83050847457627119</v>
      </c>
      <c r="CB12" s="155">
        <f t="shared" si="11"/>
        <v>0.96153846153846156</v>
      </c>
      <c r="CC12" s="50">
        <f t="shared" si="11"/>
        <v>0.66666666666666674</v>
      </c>
      <c r="CD12" s="45"/>
      <c r="CE12" s="4" t="s">
        <v>8</v>
      </c>
      <c r="CF12" s="131">
        <f t="shared" si="25"/>
        <v>0.80530973451327437</v>
      </c>
      <c r="CG12" s="13">
        <f t="shared" si="26"/>
        <v>0.88790560471976399</v>
      </c>
      <c r="CH12" s="13">
        <f t="shared" si="27"/>
        <v>2.9498525073746323E-2</v>
      </c>
      <c r="CI12" s="13">
        <f t="shared" si="28"/>
        <v>0.11209439528023599</v>
      </c>
      <c r="CJ12" s="13">
        <f t="shared" si="29"/>
        <v>0.16019417475728154</v>
      </c>
      <c r="CK12" s="13">
        <f t="shared" si="30"/>
        <v>0.30097087378640774</v>
      </c>
      <c r="CL12" s="13">
        <f t="shared" si="31"/>
        <v>0.55825242718446599</v>
      </c>
      <c r="CM12" s="125">
        <f t="shared" si="32"/>
        <v>0.69902912621359214</v>
      </c>
      <c r="CO12" s="4" t="s">
        <v>9</v>
      </c>
      <c r="CP12" s="13">
        <f t="shared" si="24"/>
        <v>6.0333060333060328E-3</v>
      </c>
      <c r="CQ12" s="13">
        <f t="shared" si="23"/>
        <v>5.481572481572481E-2</v>
      </c>
      <c r="CR12" s="13">
        <f t="shared" si="23"/>
        <v>3.0940030940030949E-3</v>
      </c>
      <c r="CS12" s="13">
        <f t="shared" si="23"/>
        <v>6.7980707980707974E-2</v>
      </c>
      <c r="CT12" s="13">
        <f t="shared" si="23"/>
        <v>2.5984348251406209E-2</v>
      </c>
      <c r="CU12" s="13">
        <f t="shared" si="23"/>
        <v>0.34134786709988463</v>
      </c>
      <c r="CV12" s="13">
        <f t="shared" si="23"/>
        <v>0</v>
      </c>
      <c r="CW12" s="13">
        <f t="shared" si="23"/>
        <v>0.20153023792055336</v>
      </c>
      <c r="CY12" s="4" t="s">
        <v>21</v>
      </c>
      <c r="CZ12" s="14">
        <f>(CP21+CT21+CP38+CT38)/$T$41</f>
        <v>5.7630787053702748E-3</v>
      </c>
      <c r="DA12" s="14">
        <f t="shared" ref="DA12:DC12" si="33">(CQ21+CU21+CQ38+CU38)/$T$41</f>
        <v>0.28092689365381374</v>
      </c>
      <c r="DB12" s="14">
        <f t="shared" si="33"/>
        <v>5.2838303812459825E-2</v>
      </c>
      <c r="DC12" s="14">
        <f t="shared" si="33"/>
        <v>0.25683873631571169</v>
      </c>
      <c r="DE12" s="4" t="s">
        <v>21</v>
      </c>
      <c r="DF12" s="14">
        <f t="shared" si="6"/>
        <v>-0.2510756576103414</v>
      </c>
      <c r="DG12" s="14">
        <f t="shared" si="7"/>
        <v>0.22808858984135391</v>
      </c>
      <c r="DH12" s="49">
        <f t="shared" si="8"/>
        <v>0.1330726961402427</v>
      </c>
      <c r="DI12" s="49">
        <f t="shared" si="8"/>
        <v>0.74220374401543021</v>
      </c>
      <c r="DK12" s="14"/>
      <c r="DM12" s="107">
        <f t="shared" si="12"/>
        <v>4</v>
      </c>
      <c r="DO12" s="14"/>
    </row>
    <row r="13" spans="1:119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111"/>
      <c r="U13" s="112">
        <v>28</v>
      </c>
      <c r="V13" s="112">
        <v>60</v>
      </c>
      <c r="W13" s="112">
        <v>2</v>
      </c>
      <c r="X13" s="112">
        <v>1</v>
      </c>
      <c r="Y13" s="113"/>
      <c r="Z13" s="113"/>
      <c r="AA13" s="113"/>
      <c r="AB13" s="113"/>
      <c r="AC13" s="113"/>
      <c r="AD13" s="122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79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12</v>
      </c>
      <c r="BE13" s="43">
        <f t="shared" si="9"/>
        <v>0.157556270096463</v>
      </c>
      <c r="BF13" s="44">
        <f t="shared" si="4"/>
        <v>0.83615819209039555</v>
      </c>
      <c r="BG13" s="44">
        <f t="shared" si="4"/>
        <v>0.96153846153846156</v>
      </c>
      <c r="BH13" s="79">
        <f t="shared" si="4"/>
        <v>0</v>
      </c>
      <c r="BI13" s="45"/>
      <c r="BJ13" s="39" t="s">
        <v>11</v>
      </c>
      <c r="BK13" s="13">
        <f t="shared" si="13"/>
        <v>0.99035369774919613</v>
      </c>
      <c r="BL13" s="13">
        <f t="shared" si="14"/>
        <v>0.3728813559322034</v>
      </c>
      <c r="BM13" s="13">
        <f t="shared" si="15"/>
        <v>0</v>
      </c>
      <c r="BN13" s="13">
        <f t="shared" si="16"/>
        <v>1</v>
      </c>
      <c r="BO13" s="13">
        <f t="shared" si="17"/>
        <v>1</v>
      </c>
      <c r="BP13" s="13">
        <f t="shared" si="18"/>
        <v>0.63276836158192096</v>
      </c>
      <c r="BQ13" s="13">
        <f t="shared" si="19"/>
        <v>0</v>
      </c>
      <c r="BR13" s="50">
        <f t="shared" si="20"/>
        <v>1</v>
      </c>
      <c r="BS13" s="45"/>
      <c r="BT13" s="45"/>
      <c r="BU13" s="39" t="s">
        <v>11</v>
      </c>
      <c r="BV13" s="134">
        <f t="shared" si="21"/>
        <v>0</v>
      </c>
      <c r="BW13" s="134">
        <f t="shared" si="10"/>
        <v>0.36723163841807904</v>
      </c>
      <c r="BX13" s="134">
        <f t="shared" si="10"/>
        <v>1</v>
      </c>
      <c r="BY13" s="134">
        <f t="shared" si="10"/>
        <v>0</v>
      </c>
      <c r="BZ13" s="155">
        <f t="shared" si="22"/>
        <v>9.6463022508038732E-3</v>
      </c>
      <c r="CA13" s="155">
        <f t="shared" si="11"/>
        <v>0.6271186440677966</v>
      </c>
      <c r="CB13" s="155">
        <f t="shared" si="11"/>
        <v>1</v>
      </c>
      <c r="CC13" s="50">
        <f t="shared" si="11"/>
        <v>0</v>
      </c>
      <c r="CD13" s="45"/>
      <c r="CE13" s="4" t="s">
        <v>9</v>
      </c>
      <c r="CF13" s="131">
        <f t="shared" si="25"/>
        <v>0.47911547911547908</v>
      </c>
      <c r="CG13" s="13">
        <f t="shared" si="26"/>
        <v>0.71498771498771496</v>
      </c>
      <c r="CH13" s="13">
        <f t="shared" si="27"/>
        <v>4.9140049140049158E-2</v>
      </c>
      <c r="CI13" s="13">
        <f t="shared" si="28"/>
        <v>0.28501228501228504</v>
      </c>
      <c r="CJ13" s="13">
        <f t="shared" si="29"/>
        <v>7.598784194528875E-2</v>
      </c>
      <c r="CK13" s="13">
        <f t="shared" si="30"/>
        <v>0.53799392097264431</v>
      </c>
      <c r="CL13" s="13">
        <f t="shared" si="31"/>
        <v>0</v>
      </c>
      <c r="CM13" s="125">
        <f t="shared" si="32"/>
        <v>0.46200607902735558</v>
      </c>
      <c r="CO13" s="4" t="s">
        <v>10</v>
      </c>
      <c r="CP13" s="13">
        <f t="shared" si="24"/>
        <v>5.0854700854700867E-3</v>
      </c>
      <c r="CQ13" s="13">
        <f t="shared" si="23"/>
        <v>5.0312499999999996E-2</v>
      </c>
      <c r="CR13" s="13">
        <f t="shared" si="23"/>
        <v>5.7514245014245015E-3</v>
      </c>
      <c r="CS13" s="13">
        <f t="shared" si="23"/>
        <v>8.1990740740740725E-2</v>
      </c>
      <c r="CT13" s="13">
        <f t="shared" si="23"/>
        <v>5.0535077288941729E-2</v>
      </c>
      <c r="CU13" s="13">
        <f t="shared" si="23"/>
        <v>0.17502972651605234</v>
      </c>
      <c r="CV13" s="13">
        <f t="shared" si="23"/>
        <v>0.11647132098975142</v>
      </c>
      <c r="CW13" s="13">
        <f t="shared" si="23"/>
        <v>0.31587395957193815</v>
      </c>
      <c r="CY13" s="4" t="s">
        <v>11</v>
      </c>
      <c r="CZ13" s="14">
        <f>(CP14+CT14+CP31+CT31)/$T$41</f>
        <v>5.3324853089265198E-2</v>
      </c>
      <c r="DA13" s="14">
        <f t="shared" ref="DA13:DC19" si="34">(CQ14+CU14+CQ31+CU31)/$T$41</f>
        <v>0.23029787727513892</v>
      </c>
      <c r="DB13" s="14">
        <f t="shared" si="34"/>
        <v>7.5126630263096808E-2</v>
      </c>
      <c r="DC13" s="14">
        <f t="shared" si="34"/>
        <v>0.23394212667954759</v>
      </c>
      <c r="DE13" s="4" t="s">
        <v>11</v>
      </c>
      <c r="DF13" s="14">
        <f t="shared" si="6"/>
        <v>-0.1806172735902824</v>
      </c>
      <c r="DG13" s="14">
        <f t="shared" si="7"/>
        <v>0.1551712470120421</v>
      </c>
      <c r="DH13" s="49">
        <f t="shared" si="8"/>
        <v>0.22264196078797191</v>
      </c>
      <c r="DI13" s="49">
        <f t="shared" si="8"/>
        <v>0.64950856134663026</v>
      </c>
      <c r="DK13" s="14"/>
      <c r="DM13" s="107">
        <f t="shared" si="12"/>
        <v>2</v>
      </c>
      <c r="DO13" s="14"/>
    </row>
    <row r="14" spans="1:119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111"/>
      <c r="U14" s="112">
        <v>28</v>
      </c>
      <c r="V14" s="112">
        <v>63</v>
      </c>
      <c r="W14" s="112">
        <v>2</v>
      </c>
      <c r="X14" s="112">
        <v>2</v>
      </c>
      <c r="Y14" s="113"/>
      <c r="Z14" s="113"/>
      <c r="AA14" s="113"/>
      <c r="AB14" s="113"/>
      <c r="AC14" s="113"/>
      <c r="AD14" s="122"/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79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13</v>
      </c>
      <c r="BE14" s="43">
        <f t="shared" si="9"/>
        <v>3.5369774919614128E-2</v>
      </c>
      <c r="BF14" s="44">
        <f t="shared" si="4"/>
        <v>0.69491525423728806</v>
      </c>
      <c r="BG14" s="44">
        <f t="shared" si="4"/>
        <v>0.92307692307692313</v>
      </c>
      <c r="BH14" s="79">
        <f t="shared" si="4"/>
        <v>0</v>
      </c>
      <c r="BI14" s="45"/>
      <c r="BJ14" s="39" t="s">
        <v>12</v>
      </c>
      <c r="BK14" s="13">
        <f t="shared" si="13"/>
        <v>0</v>
      </c>
      <c r="BL14" s="13">
        <f t="shared" si="14"/>
        <v>0.12429378531073447</v>
      </c>
      <c r="BM14" s="13">
        <f t="shared" si="15"/>
        <v>3.8461538461538464E-2</v>
      </c>
      <c r="BN14" s="13">
        <f t="shared" si="16"/>
        <v>0.22222222222222221</v>
      </c>
      <c r="BO14" s="13">
        <f t="shared" si="17"/>
        <v>0.97106109324758838</v>
      </c>
      <c r="BP14" s="13">
        <f t="shared" si="18"/>
        <v>0.41807909604519772</v>
      </c>
      <c r="BQ14" s="13">
        <f t="shared" si="19"/>
        <v>0.61538461538461542</v>
      </c>
      <c r="BR14" s="50">
        <f t="shared" si="20"/>
        <v>1</v>
      </c>
      <c r="BS14" s="45"/>
      <c r="BT14" s="45"/>
      <c r="BU14" s="39" t="s">
        <v>12</v>
      </c>
      <c r="BV14" s="134">
        <f t="shared" si="21"/>
        <v>2.8938906752411619E-2</v>
      </c>
      <c r="BW14" s="134">
        <f t="shared" si="10"/>
        <v>0.58192090395480234</v>
      </c>
      <c r="BX14" s="134">
        <f t="shared" si="10"/>
        <v>0.38461538461538458</v>
      </c>
      <c r="BY14" s="134">
        <f t="shared" si="10"/>
        <v>0</v>
      </c>
      <c r="BZ14" s="155">
        <f t="shared" si="22"/>
        <v>1</v>
      </c>
      <c r="CA14" s="155">
        <f t="shared" si="11"/>
        <v>0.87570621468926557</v>
      </c>
      <c r="CB14" s="155">
        <f t="shared" si="11"/>
        <v>0.96153846153846156</v>
      </c>
      <c r="CC14" s="50">
        <f t="shared" si="11"/>
        <v>0.77777777777777779</v>
      </c>
      <c r="CD14" s="45"/>
      <c r="CE14" s="4" t="s">
        <v>10</v>
      </c>
      <c r="CF14" s="131">
        <f t="shared" si="25"/>
        <v>0.40384615384615391</v>
      </c>
      <c r="CG14" s="13">
        <f t="shared" si="26"/>
        <v>0.65625</v>
      </c>
      <c r="CH14" s="13">
        <f t="shared" si="27"/>
        <v>9.1346153846153855E-2</v>
      </c>
      <c r="CI14" s="13">
        <f t="shared" si="28"/>
        <v>0.34375</v>
      </c>
      <c r="CJ14" s="13">
        <f t="shared" si="29"/>
        <v>0.14778325123152708</v>
      </c>
      <c r="CK14" s="13">
        <f t="shared" si="30"/>
        <v>0.27586206896551729</v>
      </c>
      <c r="CL14" s="13">
        <f t="shared" si="31"/>
        <v>0.59605911330049266</v>
      </c>
      <c r="CM14" s="125">
        <f t="shared" si="32"/>
        <v>0.72413793103448276</v>
      </c>
      <c r="CO14" s="4" t="s">
        <v>11</v>
      </c>
      <c r="CP14" s="13">
        <f t="shared" si="24"/>
        <v>1.2351969804199102E-2</v>
      </c>
      <c r="CQ14" s="13">
        <f t="shared" si="23"/>
        <v>7.5934182590233532E-2</v>
      </c>
      <c r="CR14" s="13">
        <f t="shared" si="23"/>
        <v>0</v>
      </c>
      <c r="CS14" s="13">
        <f t="shared" si="23"/>
        <v>2.2788393489030462E-3</v>
      </c>
      <c r="CT14" s="13">
        <f t="shared" si="23"/>
        <v>0.10120612339570124</v>
      </c>
      <c r="CU14" s="13">
        <f t="shared" si="23"/>
        <v>0.31866398639245397</v>
      </c>
      <c r="CV14" s="13">
        <f t="shared" si="23"/>
        <v>5.6955827019225802E-2</v>
      </c>
      <c r="CW14" s="13">
        <f t="shared" si="23"/>
        <v>0.21712540590691198</v>
      </c>
      <c r="CY14" s="4" t="s">
        <v>12</v>
      </c>
      <c r="CZ14" s="14">
        <f t="shared" ref="CZ14:CZ19" si="35">(CP15+CT15+CP32+CT32)/$T$41</f>
        <v>1.9851576538678823E-2</v>
      </c>
      <c r="DA14" s="14">
        <f t="shared" si="34"/>
        <v>0.30536493395145448</v>
      </c>
      <c r="DB14" s="14">
        <f t="shared" si="34"/>
        <v>5.3505188914247076E-2</v>
      </c>
      <c r="DC14" s="14">
        <f t="shared" si="34"/>
        <v>0.37373453479018531</v>
      </c>
      <c r="DE14" s="4" t="s">
        <v>12</v>
      </c>
      <c r="DF14" s="14">
        <f t="shared" si="6"/>
        <v>-0.35388295825150651</v>
      </c>
      <c r="DG14" s="14">
        <f t="shared" si="7"/>
        <v>0.25185974503720743</v>
      </c>
      <c r="DH14" s="49">
        <f t="shared" si="8"/>
        <v>2.38031017485325E-3</v>
      </c>
      <c r="DI14" s="49">
        <f t="shared" si="8"/>
        <v>0.77242250251141686</v>
      </c>
      <c r="DK14" s="14"/>
      <c r="DM14" s="107">
        <f t="shared" si="12"/>
        <v>14</v>
      </c>
      <c r="DO14" s="14"/>
    </row>
    <row r="15" spans="1:119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111"/>
      <c r="U15" s="112">
        <v>51</v>
      </c>
      <c r="V15" s="112">
        <v>66</v>
      </c>
      <c r="W15" s="112">
        <v>3</v>
      </c>
      <c r="X15" s="112">
        <v>5</v>
      </c>
      <c r="Y15" s="113"/>
      <c r="Z15" s="113"/>
      <c r="AA15" s="113"/>
      <c r="AB15" s="113"/>
      <c r="AC15" s="113"/>
      <c r="AD15" s="122"/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79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14</v>
      </c>
      <c r="BE15" s="43">
        <f t="shared" si="9"/>
        <v>6.7524115755627001E-2</v>
      </c>
      <c r="BF15" s="44">
        <f t="shared" si="4"/>
        <v>0.71751412429378525</v>
      </c>
      <c r="BG15" s="44">
        <f t="shared" si="4"/>
        <v>1</v>
      </c>
      <c r="BH15" s="79">
        <f t="shared" si="4"/>
        <v>0</v>
      </c>
      <c r="BI15" s="45"/>
      <c r="BJ15" s="39" t="s">
        <v>13</v>
      </c>
      <c r="BK15" s="13">
        <f t="shared" si="13"/>
        <v>0.93569131832797425</v>
      </c>
      <c r="BL15" s="13">
        <f t="shared" si="14"/>
        <v>0.30508474576271188</v>
      </c>
      <c r="BM15" s="13">
        <f t="shared" si="15"/>
        <v>0</v>
      </c>
      <c r="BN15" s="13">
        <f t="shared" si="16"/>
        <v>0.44444444444444442</v>
      </c>
      <c r="BO15" s="13">
        <f t="shared" si="17"/>
        <v>0.977491961414791</v>
      </c>
      <c r="BP15" s="13">
        <f t="shared" si="18"/>
        <v>0.65536723163841804</v>
      </c>
      <c r="BQ15" s="13">
        <f t="shared" si="19"/>
        <v>0.11538461538461539</v>
      </c>
      <c r="BR15" s="50">
        <f t="shared" si="20"/>
        <v>1</v>
      </c>
      <c r="BS15" s="45"/>
      <c r="BT15" s="45"/>
      <c r="BU15" s="39" t="s">
        <v>13</v>
      </c>
      <c r="BV15" s="134">
        <f t="shared" si="21"/>
        <v>2.2508038585209E-2</v>
      </c>
      <c r="BW15" s="134">
        <f t="shared" si="10"/>
        <v>0.34463276836158196</v>
      </c>
      <c r="BX15" s="134">
        <f t="shared" si="10"/>
        <v>0.88461538461538458</v>
      </c>
      <c r="BY15" s="134">
        <f t="shared" si="10"/>
        <v>0</v>
      </c>
      <c r="BZ15" s="155">
        <f t="shared" si="22"/>
        <v>6.4308681672025747E-2</v>
      </c>
      <c r="CA15" s="155">
        <f t="shared" si="11"/>
        <v>0.69491525423728806</v>
      </c>
      <c r="CB15" s="155">
        <f t="shared" si="11"/>
        <v>1</v>
      </c>
      <c r="CC15" s="50">
        <f t="shared" si="11"/>
        <v>0.55555555555555558</v>
      </c>
      <c r="CD15" s="45"/>
      <c r="CE15" s="4" t="s">
        <v>11</v>
      </c>
      <c r="CF15" s="131">
        <f t="shared" si="25"/>
        <v>0.98089171974522282</v>
      </c>
      <c r="CG15" s="13">
        <f t="shared" si="26"/>
        <v>0.99044585987261136</v>
      </c>
      <c r="CH15" s="13">
        <f t="shared" si="27"/>
        <v>0</v>
      </c>
      <c r="CI15" s="13">
        <f t="shared" si="28"/>
        <v>9.5541401273885485E-3</v>
      </c>
      <c r="CJ15" s="13">
        <f t="shared" si="29"/>
        <v>0.29596412556053808</v>
      </c>
      <c r="CK15" s="13">
        <f t="shared" si="30"/>
        <v>0.50224215246636772</v>
      </c>
      <c r="CL15" s="13">
        <f t="shared" si="31"/>
        <v>0.29147982062780264</v>
      </c>
      <c r="CM15" s="125">
        <f t="shared" si="32"/>
        <v>0.49775784753363228</v>
      </c>
      <c r="CO15" s="4" t="s">
        <v>12</v>
      </c>
      <c r="CP15" s="13">
        <f t="shared" si="24"/>
        <v>0</v>
      </c>
      <c r="CQ15" s="13">
        <f t="shared" si="23"/>
        <v>3.7770527460576395E-2</v>
      </c>
      <c r="CR15" s="13">
        <f t="shared" si="23"/>
        <v>9.2441544317564022E-4</v>
      </c>
      <c r="CS15" s="13">
        <f t="shared" si="23"/>
        <v>0.12101021086339193</v>
      </c>
      <c r="CT15" s="13">
        <f t="shared" si="23"/>
        <v>3.2851478191035489E-2</v>
      </c>
      <c r="CU15" s="13">
        <f t="shared" si="23"/>
        <v>0.20502936304773373</v>
      </c>
      <c r="CV15" s="13">
        <f t="shared" si="23"/>
        <v>8.7888370225367662E-2</v>
      </c>
      <c r="CW15" s="13">
        <f t="shared" si="23"/>
        <v>0.29524920945640715</v>
      </c>
      <c r="CY15" s="4" t="s">
        <v>13</v>
      </c>
      <c r="CZ15" s="14">
        <f t="shared" si="35"/>
        <v>4.1591638299815811E-2</v>
      </c>
      <c r="DA15" s="14">
        <f t="shared" si="34"/>
        <v>0.25133045935400639</v>
      </c>
      <c r="DB15" s="14">
        <f t="shared" si="34"/>
        <v>6.2429327554737193E-2</v>
      </c>
      <c r="DC15" s="14">
        <f t="shared" si="34"/>
        <v>0.31006203231426899</v>
      </c>
      <c r="DE15" s="4" t="s">
        <v>13</v>
      </c>
      <c r="DF15" s="14">
        <f t="shared" si="6"/>
        <v>-0.26847039401445316</v>
      </c>
      <c r="DG15" s="14">
        <f t="shared" si="7"/>
        <v>0.18890113179926921</v>
      </c>
      <c r="DH15" s="49">
        <f t="shared" si="8"/>
        <v>0.11095987351272098</v>
      </c>
      <c r="DI15" s="49">
        <f t="shared" si="8"/>
        <v>0.69238721970735073</v>
      </c>
      <c r="DK15" s="14"/>
      <c r="DM15" s="107">
        <f t="shared" si="12"/>
        <v>5</v>
      </c>
      <c r="DO15" s="14"/>
    </row>
    <row r="16" spans="1:119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111"/>
      <c r="U16" s="112">
        <v>52</v>
      </c>
      <c r="V16" s="112">
        <v>70</v>
      </c>
      <c r="W16" s="112">
        <v>4</v>
      </c>
      <c r="X16" s="112">
        <v>6</v>
      </c>
      <c r="Y16" s="113"/>
      <c r="Z16" s="113"/>
      <c r="AA16" s="113"/>
      <c r="AB16" s="113"/>
      <c r="AC16" s="113"/>
      <c r="AD16" s="122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79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15</v>
      </c>
      <c r="BE16" s="43">
        <f t="shared" si="9"/>
        <v>2.8938906752411619E-2</v>
      </c>
      <c r="BF16" s="44">
        <f t="shared" si="4"/>
        <v>0.89830508474576276</v>
      </c>
      <c r="BG16" s="44">
        <f t="shared" si="4"/>
        <v>0.96153846153846156</v>
      </c>
      <c r="BH16" s="79">
        <f t="shared" si="4"/>
        <v>0.11111111111111116</v>
      </c>
      <c r="BI16" s="45"/>
      <c r="BJ16" s="39" t="s">
        <v>14</v>
      </c>
      <c r="BK16" s="13">
        <f t="shared" si="13"/>
        <v>0.80064308681672025</v>
      </c>
      <c r="BL16" s="13">
        <f t="shared" si="14"/>
        <v>0.2824858757062147</v>
      </c>
      <c r="BM16" s="13">
        <f t="shared" si="15"/>
        <v>0</v>
      </c>
      <c r="BN16" s="13">
        <f t="shared" si="16"/>
        <v>0.33333333333333331</v>
      </c>
      <c r="BO16" s="13">
        <f t="shared" si="17"/>
        <v>0.932475884244373</v>
      </c>
      <c r="BP16" s="13">
        <f t="shared" si="18"/>
        <v>0.50847457627118642</v>
      </c>
      <c r="BQ16" s="13">
        <f t="shared" si="19"/>
        <v>3.8461538461538464E-2</v>
      </c>
      <c r="BR16" s="50">
        <f t="shared" si="20"/>
        <v>1</v>
      </c>
      <c r="BS16" s="45"/>
      <c r="BT16" s="45"/>
      <c r="BU16" s="39" t="s">
        <v>14</v>
      </c>
      <c r="BV16" s="134">
        <f t="shared" si="21"/>
        <v>6.7524115755627001E-2</v>
      </c>
      <c r="BW16" s="134">
        <f t="shared" si="10"/>
        <v>0.49152542372881358</v>
      </c>
      <c r="BX16" s="134">
        <f t="shared" si="10"/>
        <v>0.96153846153846156</v>
      </c>
      <c r="BY16" s="134">
        <f t="shared" si="10"/>
        <v>0</v>
      </c>
      <c r="BZ16" s="155">
        <f t="shared" si="22"/>
        <v>0.19935691318327975</v>
      </c>
      <c r="CA16" s="155">
        <f t="shared" si="11"/>
        <v>0.71751412429378525</v>
      </c>
      <c r="CB16" s="155">
        <f t="shared" si="11"/>
        <v>1</v>
      </c>
      <c r="CC16" s="50">
        <f t="shared" si="11"/>
        <v>0.66666666666666674</v>
      </c>
      <c r="CD16" s="45"/>
      <c r="CE16" s="4" t="s">
        <v>12</v>
      </c>
      <c r="CF16" s="131">
        <f t="shared" si="25"/>
        <v>0</v>
      </c>
      <c r="CG16" s="13">
        <f t="shared" si="26"/>
        <v>0.4926590538336052</v>
      </c>
      <c r="CH16" s="13">
        <f t="shared" si="27"/>
        <v>1.4681892332789581E-2</v>
      </c>
      <c r="CI16" s="13">
        <f t="shared" si="28"/>
        <v>0.5073409461663948</v>
      </c>
      <c r="CJ16" s="13">
        <f t="shared" si="29"/>
        <v>9.606986899563319E-2</v>
      </c>
      <c r="CK16" s="13">
        <f t="shared" si="30"/>
        <v>0.32314410480349343</v>
      </c>
      <c r="CL16" s="13">
        <f t="shared" si="31"/>
        <v>0.44978165938864634</v>
      </c>
      <c r="CM16" s="125">
        <f t="shared" si="32"/>
        <v>0.67685589519650657</v>
      </c>
      <c r="CO16" s="4" t="s">
        <v>13</v>
      </c>
      <c r="CP16" s="13">
        <f t="shared" si="24"/>
        <v>1.1310013717421125E-2</v>
      </c>
      <c r="CQ16" s="13">
        <f t="shared" si="23"/>
        <v>7.1934156378600816E-2</v>
      </c>
      <c r="CR16" s="13">
        <f t="shared" si="23"/>
        <v>1.3603109282121623E-3</v>
      </c>
      <c r="CS16" s="13">
        <f t="shared" si="23"/>
        <v>1.4723365340649296E-2</v>
      </c>
      <c r="CT16" s="13">
        <f t="shared" si="23"/>
        <v>7.726157841581302E-2</v>
      </c>
      <c r="CU16" s="13">
        <f t="shared" si="23"/>
        <v>0.30794979079497903</v>
      </c>
      <c r="CV16" s="13">
        <f t="shared" si="23"/>
        <v>4.9872553263117403E-2</v>
      </c>
      <c r="CW16" s="13">
        <f t="shared" si="23"/>
        <v>0.22449141538017597</v>
      </c>
      <c r="CY16" s="4" t="s">
        <v>14</v>
      </c>
      <c r="CZ16" s="14">
        <f t="shared" si="35"/>
        <v>4.1181921155972682E-2</v>
      </c>
      <c r="DA16" s="14">
        <f t="shared" si="34"/>
        <v>0.19598959895859566</v>
      </c>
      <c r="DB16" s="14">
        <f t="shared" si="34"/>
        <v>8.3348837844319137E-2</v>
      </c>
      <c r="DC16" s="14">
        <f t="shared" si="34"/>
        <v>0.35567675374763169</v>
      </c>
      <c r="DE16" s="4" t="s">
        <v>14</v>
      </c>
      <c r="DF16" s="14">
        <f t="shared" si="6"/>
        <v>-0.314494832591659</v>
      </c>
      <c r="DG16" s="14">
        <f t="shared" si="7"/>
        <v>0.11264076111427652</v>
      </c>
      <c r="DH16" s="49">
        <f t="shared" si="8"/>
        <v>5.2451930469189105E-2</v>
      </c>
      <c r="DI16" s="49">
        <f t="shared" si="8"/>
        <v>0.59544225823799002</v>
      </c>
      <c r="DK16" s="14"/>
      <c r="DM16" s="107">
        <f t="shared" si="12"/>
        <v>10</v>
      </c>
      <c r="DO16" s="14"/>
    </row>
    <row r="17" spans="1:119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111"/>
      <c r="U17" s="112">
        <v>79</v>
      </c>
      <c r="V17" s="112">
        <v>72</v>
      </c>
      <c r="W17" s="112">
        <v>8</v>
      </c>
      <c r="X17" s="112">
        <v>6</v>
      </c>
      <c r="Y17" s="113"/>
      <c r="Z17" s="113"/>
      <c r="AA17" s="113"/>
      <c r="AB17" s="113"/>
      <c r="AC17" s="113"/>
      <c r="AD17" s="122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79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16</v>
      </c>
      <c r="BE17" s="43">
        <f t="shared" si="9"/>
        <v>0.12218649517684887</v>
      </c>
      <c r="BF17" s="44">
        <f t="shared" si="4"/>
        <v>0.77401129943502822</v>
      </c>
      <c r="BG17" s="44">
        <f t="shared" si="4"/>
        <v>0.96153846153846156</v>
      </c>
      <c r="BH17" s="79">
        <f t="shared" si="4"/>
        <v>0.33333333333333337</v>
      </c>
      <c r="BI17" s="45"/>
      <c r="BJ17" s="39" t="s">
        <v>15</v>
      </c>
      <c r="BK17" s="13">
        <f t="shared" si="13"/>
        <v>0.96784565916398713</v>
      </c>
      <c r="BL17" s="13">
        <f t="shared" si="14"/>
        <v>0.10169491525423729</v>
      </c>
      <c r="BM17" s="13">
        <f t="shared" si="15"/>
        <v>0</v>
      </c>
      <c r="BN17" s="13">
        <f t="shared" si="16"/>
        <v>0.77777777777777779</v>
      </c>
      <c r="BO17" s="13">
        <f t="shared" si="17"/>
        <v>0.99035369774919613</v>
      </c>
      <c r="BP17" s="13">
        <f t="shared" si="18"/>
        <v>0.42372881355932202</v>
      </c>
      <c r="BQ17" s="13">
        <f t="shared" si="19"/>
        <v>0.11538461538461539</v>
      </c>
      <c r="BR17" s="50">
        <f t="shared" si="20"/>
        <v>1</v>
      </c>
      <c r="BS17" s="45"/>
      <c r="BT17" s="45"/>
      <c r="BU17" s="39" t="s">
        <v>15</v>
      </c>
      <c r="BV17" s="134">
        <f t="shared" si="21"/>
        <v>9.6463022508038732E-3</v>
      </c>
      <c r="BW17" s="134">
        <f t="shared" si="10"/>
        <v>0.57627118644067798</v>
      </c>
      <c r="BX17" s="134">
        <f t="shared" si="10"/>
        <v>0.88461538461538458</v>
      </c>
      <c r="BY17" s="134">
        <f t="shared" si="10"/>
        <v>0</v>
      </c>
      <c r="BZ17" s="155">
        <f t="shared" si="22"/>
        <v>3.2154340836012874E-2</v>
      </c>
      <c r="CA17" s="155">
        <f t="shared" si="11"/>
        <v>0.89830508474576276</v>
      </c>
      <c r="CB17" s="155">
        <f t="shared" si="11"/>
        <v>1</v>
      </c>
      <c r="CC17" s="50">
        <f t="shared" si="11"/>
        <v>0.22222222222222221</v>
      </c>
      <c r="CD17" s="45"/>
      <c r="CE17" s="4" t="s">
        <v>13</v>
      </c>
      <c r="CF17" s="131">
        <f t="shared" si="25"/>
        <v>0.89814814814814814</v>
      </c>
      <c r="CG17" s="13">
        <f t="shared" si="26"/>
        <v>0.93827160493827155</v>
      </c>
      <c r="CH17" s="13">
        <f t="shared" si="27"/>
        <v>2.1604938271604934E-2</v>
      </c>
      <c r="CI17" s="13">
        <f t="shared" si="28"/>
        <v>6.1728395061728419E-2</v>
      </c>
      <c r="CJ17" s="13">
        <f t="shared" si="29"/>
        <v>0.22594142259414229</v>
      </c>
      <c r="CK17" s="13">
        <f t="shared" si="30"/>
        <v>0.48535564853556484</v>
      </c>
      <c r="CL17" s="13">
        <f t="shared" si="31"/>
        <v>0.25523012552301261</v>
      </c>
      <c r="CM17" s="125">
        <f t="shared" si="32"/>
        <v>0.5146443514644351</v>
      </c>
      <c r="CO17" s="4" t="s">
        <v>14</v>
      </c>
      <c r="CP17" s="13">
        <f t="shared" si="24"/>
        <v>8.9078282828282829E-3</v>
      </c>
      <c r="CQ17" s="13">
        <f t="shared" si="23"/>
        <v>6.3162878787878782E-2</v>
      </c>
      <c r="CR17" s="13">
        <f t="shared" si="23"/>
        <v>3.7563131313131303E-3</v>
      </c>
      <c r="CS17" s="13">
        <f t="shared" si="23"/>
        <v>4.2011784511784507E-2</v>
      </c>
      <c r="CT17" s="13">
        <f t="shared" si="23"/>
        <v>7.8791249536522071E-2</v>
      </c>
      <c r="CU17" s="13">
        <f t="shared" si="23"/>
        <v>0.26314953122517082</v>
      </c>
      <c r="CV17" s="13">
        <f t="shared" si="23"/>
        <v>7.83410138248848E-2</v>
      </c>
      <c r="CW17" s="13">
        <f t="shared" si="23"/>
        <v>0.25529159383441918</v>
      </c>
      <c r="CY17" s="4" t="s">
        <v>15</v>
      </c>
      <c r="CZ17" s="14">
        <f t="shared" si="35"/>
        <v>1.7949100997688327E-2</v>
      </c>
      <c r="DA17" s="14">
        <f t="shared" si="34"/>
        <v>0.21119697539587401</v>
      </c>
      <c r="DB17" s="14">
        <f t="shared" si="34"/>
        <v>7.8647045261546283E-2</v>
      </c>
      <c r="DC17" s="14">
        <f t="shared" si="34"/>
        <v>0.30098644408895908</v>
      </c>
      <c r="DE17" s="4" t="s">
        <v>15</v>
      </c>
      <c r="DF17" s="14">
        <f t="shared" si="6"/>
        <v>-0.28303734309127077</v>
      </c>
      <c r="DG17" s="14">
        <f t="shared" si="7"/>
        <v>0.13254993013432773</v>
      </c>
      <c r="DH17" s="49">
        <f t="shared" si="8"/>
        <v>9.2441837155258999E-2</v>
      </c>
      <c r="DI17" s="49">
        <f t="shared" si="8"/>
        <v>0.62075151921061833</v>
      </c>
      <c r="DK17" s="14"/>
      <c r="DM17" s="107">
        <f t="shared" si="12"/>
        <v>6</v>
      </c>
      <c r="DO17" s="14"/>
    </row>
    <row r="18" spans="1:119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111"/>
      <c r="U18" s="112">
        <v>108</v>
      </c>
      <c r="V18" s="112">
        <v>90</v>
      </c>
      <c r="W18" s="112">
        <v>15</v>
      </c>
      <c r="X18" s="112">
        <v>9</v>
      </c>
      <c r="Y18" s="113"/>
      <c r="Z18" s="113"/>
      <c r="AA18" s="113"/>
      <c r="AB18" s="113"/>
      <c r="AC18" s="113"/>
      <c r="AD18" s="122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79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17</v>
      </c>
      <c r="BE18" s="43">
        <f t="shared" si="9"/>
        <v>1.9292604501607746E-2</v>
      </c>
      <c r="BF18" s="44">
        <f t="shared" si="4"/>
        <v>0.94915254237288138</v>
      </c>
      <c r="BG18" s="44">
        <f t="shared" si="4"/>
        <v>1</v>
      </c>
      <c r="BH18" s="79">
        <f t="shared" si="4"/>
        <v>0</v>
      </c>
      <c r="BI18" s="45"/>
      <c r="BJ18" s="39" t="s">
        <v>16</v>
      </c>
      <c r="BK18" s="13">
        <f t="shared" si="13"/>
        <v>0.57234726688102899</v>
      </c>
      <c r="BL18" s="13">
        <f t="shared" si="14"/>
        <v>0.19209039548022599</v>
      </c>
      <c r="BM18" s="13">
        <f t="shared" si="15"/>
        <v>3.8461538461538464E-2</v>
      </c>
      <c r="BN18" s="13">
        <f t="shared" si="16"/>
        <v>0</v>
      </c>
      <c r="BO18" s="13">
        <f t="shared" si="17"/>
        <v>0.87781350482315113</v>
      </c>
      <c r="BP18" s="13">
        <f t="shared" si="18"/>
        <v>0.48022598870056499</v>
      </c>
      <c r="BQ18" s="13">
        <f t="shared" si="19"/>
        <v>0.57692307692307687</v>
      </c>
      <c r="BR18" s="50">
        <f t="shared" si="20"/>
        <v>0.77777777777777779</v>
      </c>
      <c r="BS18" s="45"/>
      <c r="BT18" s="45"/>
      <c r="BU18" s="39" t="s">
        <v>16</v>
      </c>
      <c r="BV18" s="134">
        <f t="shared" si="21"/>
        <v>0.12218649517684887</v>
      </c>
      <c r="BW18" s="134">
        <f t="shared" si="10"/>
        <v>0.51977401129943501</v>
      </c>
      <c r="BX18" s="134">
        <f t="shared" si="10"/>
        <v>0.42307692307692313</v>
      </c>
      <c r="BY18" s="134">
        <f t="shared" si="10"/>
        <v>0.22222222222222221</v>
      </c>
      <c r="BZ18" s="155">
        <f t="shared" si="22"/>
        <v>0.42765273311897101</v>
      </c>
      <c r="CA18" s="155">
        <f t="shared" si="11"/>
        <v>0.80790960451977401</v>
      </c>
      <c r="CB18" s="155">
        <f t="shared" si="11"/>
        <v>0.96153846153846156</v>
      </c>
      <c r="CC18" s="50">
        <f t="shared" si="11"/>
        <v>1</v>
      </c>
      <c r="CD18" s="45"/>
      <c r="CE18" s="4" t="s">
        <v>14</v>
      </c>
      <c r="CF18" s="131">
        <f t="shared" si="25"/>
        <v>0.70738636363636365</v>
      </c>
      <c r="CG18" s="13">
        <f t="shared" si="26"/>
        <v>0.82386363636363635</v>
      </c>
      <c r="CH18" s="13">
        <f t="shared" si="27"/>
        <v>5.9659090909090898E-2</v>
      </c>
      <c r="CI18" s="13">
        <f t="shared" si="28"/>
        <v>0.17613636363636365</v>
      </c>
      <c r="CJ18" s="13">
        <f t="shared" si="29"/>
        <v>0.23041474654377883</v>
      </c>
      <c r="CK18" s="13">
        <f t="shared" si="30"/>
        <v>0.41474654377880188</v>
      </c>
      <c r="CL18" s="13">
        <f t="shared" si="31"/>
        <v>0.40092165898617516</v>
      </c>
      <c r="CM18" s="125">
        <f t="shared" si="32"/>
        <v>0.58525345622119818</v>
      </c>
      <c r="CO18" s="4" t="s">
        <v>15</v>
      </c>
      <c r="CP18" s="13">
        <f t="shared" si="24"/>
        <v>1.191940368040997E-2</v>
      </c>
      <c r="CQ18" s="13">
        <f t="shared" si="23"/>
        <v>7.4255765199161425E-2</v>
      </c>
      <c r="CR18" s="13">
        <f t="shared" si="23"/>
        <v>5.9399021663172685E-4</v>
      </c>
      <c r="CS18" s="13">
        <f t="shared" si="23"/>
        <v>7.5005823433496417E-3</v>
      </c>
      <c r="CT18" s="13">
        <f t="shared" si="23"/>
        <v>2.6304155614500443E-2</v>
      </c>
      <c r="CU18" s="13">
        <f t="shared" si="23"/>
        <v>0.20335985853227229</v>
      </c>
      <c r="CV18" s="13">
        <f t="shared" si="23"/>
        <v>8.5175361037429995E-2</v>
      </c>
      <c r="CW18" s="13">
        <f t="shared" si="23"/>
        <v>0.29639699381078688</v>
      </c>
      <c r="CY18" s="4" t="s">
        <v>16</v>
      </c>
      <c r="CZ18" s="14">
        <f t="shared" si="35"/>
        <v>3.1073718055658391E-2</v>
      </c>
      <c r="DA18" s="14">
        <f t="shared" si="34"/>
        <v>0.31452197006277155</v>
      </c>
      <c r="DB18" s="14">
        <f t="shared" si="34"/>
        <v>6.1412560450900142E-2</v>
      </c>
      <c r="DC18" s="14">
        <f t="shared" si="34"/>
        <v>0.37355022821726869</v>
      </c>
      <c r="DE18" s="4" t="s">
        <v>16</v>
      </c>
      <c r="DF18" s="14">
        <f t="shared" si="6"/>
        <v>-0.34247651016161029</v>
      </c>
      <c r="DG18" s="14">
        <f t="shared" si="7"/>
        <v>0.25310940961187139</v>
      </c>
      <c r="DH18" s="49">
        <f t="shared" si="8"/>
        <v>1.6880602536989149E-2</v>
      </c>
      <c r="DI18" s="49">
        <f t="shared" si="8"/>
        <v>0.77401112164547348</v>
      </c>
      <c r="DK18" s="14"/>
      <c r="DM18" s="107">
        <f t="shared" si="12"/>
        <v>13</v>
      </c>
      <c r="DO18" s="14"/>
    </row>
    <row r="19" spans="1:119" ht="15.75" thickBot="1" x14ac:dyDescent="0.3">
      <c r="A19" s="53" t="s">
        <v>83</v>
      </c>
      <c r="B19" s="58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111"/>
      <c r="U19" s="112">
        <v>116</v>
      </c>
      <c r="V19" s="112">
        <v>96</v>
      </c>
      <c r="W19" s="112">
        <v>26</v>
      </c>
      <c r="X19" s="112">
        <v>9</v>
      </c>
      <c r="Y19" s="113"/>
      <c r="Z19" s="113"/>
      <c r="AA19" s="113"/>
      <c r="AB19" s="113"/>
      <c r="AC19" s="113"/>
      <c r="AD19" s="122"/>
      <c r="AL19" s="72" t="s">
        <v>21</v>
      </c>
      <c r="AM19" s="83">
        <f t="shared" si="0"/>
        <v>1</v>
      </c>
      <c r="AN19" s="84">
        <f t="shared" si="1"/>
        <v>0</v>
      </c>
      <c r="AO19" s="84">
        <f t="shared" si="2"/>
        <v>0</v>
      </c>
      <c r="AP19" s="85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72" t="s">
        <v>21</v>
      </c>
      <c r="BE19" s="83">
        <f t="shared" si="9"/>
        <v>0</v>
      </c>
      <c r="BF19" s="84">
        <f t="shared" si="4"/>
        <v>1</v>
      </c>
      <c r="BG19" s="84">
        <f t="shared" si="4"/>
        <v>1</v>
      </c>
      <c r="BH19" s="85">
        <f t="shared" si="4"/>
        <v>0</v>
      </c>
      <c r="BI19" s="45"/>
      <c r="BJ19" s="39" t="s">
        <v>17</v>
      </c>
      <c r="BK19" s="13">
        <f t="shared" si="13"/>
        <v>0.91639871382636651</v>
      </c>
      <c r="BL19" s="13">
        <f t="shared" si="14"/>
        <v>5.0847457627118647E-2</v>
      </c>
      <c r="BM19" s="13">
        <f t="shared" si="15"/>
        <v>0</v>
      </c>
      <c r="BN19" s="13">
        <f t="shared" si="16"/>
        <v>0.77777777777777779</v>
      </c>
      <c r="BO19" s="13">
        <f t="shared" si="17"/>
        <v>0.98713826366559487</v>
      </c>
      <c r="BP19" s="13">
        <f t="shared" si="18"/>
        <v>0.29943502824858759</v>
      </c>
      <c r="BQ19" s="13">
        <f t="shared" si="19"/>
        <v>3.8461538461538464E-2</v>
      </c>
      <c r="BR19" s="50">
        <f t="shared" si="20"/>
        <v>1</v>
      </c>
      <c r="BS19" s="45"/>
      <c r="BT19" s="45"/>
      <c r="BU19" s="39" t="s">
        <v>17</v>
      </c>
      <c r="BV19" s="134">
        <f t="shared" si="21"/>
        <v>1.2861736334405127E-2</v>
      </c>
      <c r="BW19" s="134">
        <f t="shared" si="10"/>
        <v>0.70056497175141241</v>
      </c>
      <c r="BX19" s="134">
        <f t="shared" si="10"/>
        <v>0.96153846153846156</v>
      </c>
      <c r="BY19" s="134">
        <f t="shared" si="10"/>
        <v>0</v>
      </c>
      <c r="BZ19" s="155">
        <f t="shared" si="22"/>
        <v>8.3601286173633493E-2</v>
      </c>
      <c r="CA19" s="155">
        <f t="shared" si="11"/>
        <v>0.94915254237288138</v>
      </c>
      <c r="CB19" s="155">
        <f t="shared" si="11"/>
        <v>1</v>
      </c>
      <c r="CC19" s="50">
        <f t="shared" si="11"/>
        <v>0.22222222222222221</v>
      </c>
      <c r="CD19" s="45"/>
      <c r="CE19" s="4" t="s">
        <v>15</v>
      </c>
      <c r="CF19" s="131">
        <f t="shared" si="25"/>
        <v>0.94654088050314467</v>
      </c>
      <c r="CG19" s="13">
        <f t="shared" si="26"/>
        <v>0.96855345911949686</v>
      </c>
      <c r="CH19" s="13">
        <f t="shared" si="27"/>
        <v>9.4339622641509569E-3</v>
      </c>
      <c r="CI19" s="13">
        <f t="shared" si="28"/>
        <v>3.1446540880503158E-2</v>
      </c>
      <c r="CJ19" s="13">
        <f t="shared" si="29"/>
        <v>7.6923076923076927E-2</v>
      </c>
      <c r="CK19" s="13">
        <f t="shared" si="30"/>
        <v>0.32051282051282048</v>
      </c>
      <c r="CL19" s="13">
        <f t="shared" si="31"/>
        <v>0.4358974358974359</v>
      </c>
      <c r="CM19" s="125">
        <f t="shared" si="32"/>
        <v>0.67948717948717952</v>
      </c>
      <c r="CO19" s="4" t="s">
        <v>16</v>
      </c>
      <c r="CP19" s="13">
        <f t="shared" si="24"/>
        <v>5.5208903484765563E-3</v>
      </c>
      <c r="CQ19" s="13">
        <f t="shared" si="23"/>
        <v>5.1551724137931042E-2</v>
      </c>
      <c r="CR19" s="13">
        <f t="shared" si="23"/>
        <v>5.8930852034300308E-3</v>
      </c>
      <c r="CS19" s="13">
        <f t="shared" si="23"/>
        <v>7.8135376756066396E-2</v>
      </c>
      <c r="CT19" s="13">
        <f t="shared" si="23"/>
        <v>5.0993143778987705E-2</v>
      </c>
      <c r="CU19" s="13">
        <f t="shared" si="23"/>
        <v>0.23653962492437991</v>
      </c>
      <c r="CV19" s="13">
        <f t="shared" si="23"/>
        <v>7.8846541641459975E-2</v>
      </c>
      <c r="CW19" s="13">
        <f t="shared" si="23"/>
        <v>0.27358590441621294</v>
      </c>
      <c r="CY19" s="4" t="s">
        <v>17</v>
      </c>
      <c r="CZ19" s="14">
        <f t="shared" si="35"/>
        <v>1.1600169247940521E-2</v>
      </c>
      <c r="DA19" s="14">
        <f t="shared" si="34"/>
        <v>0.1572201386823138</v>
      </c>
      <c r="DB19" s="14">
        <f t="shared" si="34"/>
        <v>9.6636356760495062E-2</v>
      </c>
      <c r="DC19" s="14">
        <f t="shared" si="34"/>
        <v>0.33143242828895331</v>
      </c>
      <c r="DE19" s="4" t="s">
        <v>17</v>
      </c>
      <c r="DF19" s="14">
        <f t="shared" si="6"/>
        <v>-0.31983225904101281</v>
      </c>
      <c r="DG19" s="14">
        <f t="shared" si="7"/>
        <v>6.0583781921818736E-2</v>
      </c>
      <c r="DH19" s="49">
        <f t="shared" si="8"/>
        <v>4.5666799518075347E-2</v>
      </c>
      <c r="DI19" s="49">
        <f t="shared" si="8"/>
        <v>0.52926552979183172</v>
      </c>
      <c r="DK19" s="14"/>
      <c r="DM19" s="108">
        <f t="shared" si="12"/>
        <v>11</v>
      </c>
      <c r="DO19" s="14"/>
    </row>
    <row r="20" spans="1:119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111"/>
      <c r="U20" s="113"/>
      <c r="V20" s="113"/>
      <c r="W20" s="113"/>
      <c r="X20" s="113"/>
      <c r="Y20" s="113"/>
      <c r="Z20" s="113"/>
      <c r="AA20" s="113"/>
      <c r="AB20" s="113"/>
      <c r="AC20" s="113"/>
      <c r="AD20" s="122"/>
      <c r="AL20" s="36" t="s">
        <v>1</v>
      </c>
      <c r="AM20" s="76">
        <f t="shared" si="0"/>
        <v>0.98713826366559487</v>
      </c>
      <c r="AN20" s="77">
        <f t="shared" si="1"/>
        <v>0.24293785310734464</v>
      </c>
      <c r="AO20" s="77">
        <f t="shared" si="2"/>
        <v>3.8461538461538464E-2</v>
      </c>
      <c r="AP20" s="78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36" t="s">
        <v>1</v>
      </c>
      <c r="BE20" s="76">
        <f t="shared" si="9"/>
        <v>1.2861736334405127E-2</v>
      </c>
      <c r="BF20" s="77">
        <f t="shared" si="9"/>
        <v>0.75706214689265539</v>
      </c>
      <c r="BG20" s="77">
        <f t="shared" si="9"/>
        <v>0.96153846153846156</v>
      </c>
      <c r="BH20" s="78">
        <f t="shared" si="9"/>
        <v>0</v>
      </c>
      <c r="BI20" s="45"/>
      <c r="BJ20" s="53" t="s">
        <v>21</v>
      </c>
      <c r="BK20" s="54">
        <f t="shared" si="13"/>
        <v>0.98713826366559487</v>
      </c>
      <c r="BL20" s="54">
        <f t="shared" si="14"/>
        <v>0</v>
      </c>
      <c r="BM20" s="54">
        <f t="shared" si="15"/>
        <v>0</v>
      </c>
      <c r="BN20" s="54">
        <f t="shared" si="16"/>
        <v>0.88888888888888884</v>
      </c>
      <c r="BO20" s="54">
        <f t="shared" si="17"/>
        <v>1</v>
      </c>
      <c r="BP20" s="54">
        <f t="shared" si="18"/>
        <v>0.5423728813559322</v>
      </c>
      <c r="BQ20" s="54">
        <f t="shared" si="19"/>
        <v>0.30769230769230771</v>
      </c>
      <c r="BR20" s="55">
        <f t="shared" si="20"/>
        <v>1</v>
      </c>
      <c r="BS20" s="45"/>
      <c r="BT20" s="45"/>
      <c r="BU20" s="53" t="s">
        <v>21</v>
      </c>
      <c r="BV20" s="156">
        <f t="shared" si="21"/>
        <v>0</v>
      </c>
      <c r="BW20" s="156">
        <f t="shared" si="10"/>
        <v>0.4576271186440678</v>
      </c>
      <c r="BX20" s="156">
        <f t="shared" si="10"/>
        <v>0.69230769230769229</v>
      </c>
      <c r="BY20" s="156">
        <f t="shared" si="10"/>
        <v>0</v>
      </c>
      <c r="BZ20" s="54">
        <f t="shared" si="22"/>
        <v>1.2861736334405127E-2</v>
      </c>
      <c r="CA20" s="54">
        <f t="shared" si="11"/>
        <v>1</v>
      </c>
      <c r="CB20" s="54">
        <f t="shared" si="11"/>
        <v>1</v>
      </c>
      <c r="CC20" s="55">
        <f t="shared" si="11"/>
        <v>0.11111111111111116</v>
      </c>
      <c r="CD20" s="45"/>
      <c r="CE20" s="4" t="s">
        <v>16</v>
      </c>
      <c r="CF20" s="131">
        <f t="shared" si="25"/>
        <v>0.43842364532019712</v>
      </c>
      <c r="CG20" s="13">
        <f t="shared" si="26"/>
        <v>0.6724137931034484</v>
      </c>
      <c r="CH20" s="13">
        <f t="shared" si="27"/>
        <v>9.3596059113300503E-2</v>
      </c>
      <c r="CI20" s="13">
        <f t="shared" si="28"/>
        <v>0.32758620689655171</v>
      </c>
      <c r="CJ20" s="13">
        <f t="shared" si="29"/>
        <v>0.14912280701754388</v>
      </c>
      <c r="CK20" s="13">
        <f t="shared" si="30"/>
        <v>0.3728070175438597</v>
      </c>
      <c r="CL20" s="13">
        <f t="shared" si="31"/>
        <v>0.40350877192982459</v>
      </c>
      <c r="CM20" s="125">
        <f t="shared" si="32"/>
        <v>0.62719298245614041</v>
      </c>
      <c r="CO20" s="4" t="s">
        <v>17</v>
      </c>
      <c r="CP20" s="13">
        <f t="shared" si="24"/>
        <v>1.0777444110777442E-2</v>
      </c>
      <c r="CQ20" s="13">
        <f t="shared" si="23"/>
        <v>7.068068068068066E-2</v>
      </c>
      <c r="CR20" s="13">
        <f t="shared" si="23"/>
        <v>7.5631186742297727E-4</v>
      </c>
      <c r="CS20" s="13">
        <f t="shared" si="23"/>
        <v>1.8623067511956404E-2</v>
      </c>
      <c r="CT20" s="13">
        <f t="shared" si="23"/>
        <v>1.3925729442970824E-2</v>
      </c>
      <c r="CU20" s="13">
        <f t="shared" si="23"/>
        <v>0.15216102356061789</v>
      </c>
      <c r="CV20" s="13">
        <f t="shared" si="23"/>
        <v>0.10963748894783376</v>
      </c>
      <c r="CW20" s="13">
        <f t="shared" si="23"/>
        <v>0.33159619285379932</v>
      </c>
      <c r="DH20" s="13"/>
      <c r="DI20" s="13"/>
    </row>
    <row r="21" spans="1:119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114" t="s">
        <v>69</v>
      </c>
      <c r="U21" s="113"/>
      <c r="V21" s="113"/>
      <c r="W21" s="113"/>
      <c r="X21" s="113"/>
      <c r="Y21" s="113"/>
      <c r="Z21" s="113"/>
      <c r="AA21" s="113"/>
      <c r="AB21" s="113"/>
      <c r="AC21" s="113"/>
      <c r="AD21" s="122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79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39" t="s">
        <v>2</v>
      </c>
      <c r="BE21" s="43">
        <f t="shared" si="9"/>
        <v>0</v>
      </c>
      <c r="BF21" s="44">
        <f t="shared" si="9"/>
        <v>0.87570621468926557</v>
      </c>
      <c r="BG21" s="44">
        <f t="shared" si="9"/>
        <v>0.88461538461538458</v>
      </c>
      <c r="BH21" s="79">
        <f t="shared" si="9"/>
        <v>0</v>
      </c>
      <c r="BI21" s="45"/>
      <c r="BJ21" s="143" t="s">
        <v>40</v>
      </c>
      <c r="BK21" s="145" t="s">
        <v>111</v>
      </c>
      <c r="BL21" s="145"/>
      <c r="BM21" s="145"/>
      <c r="BN21" s="145"/>
      <c r="BO21" s="145" t="s">
        <v>112</v>
      </c>
      <c r="BP21" s="145"/>
      <c r="BQ21" s="145"/>
      <c r="BR21" s="146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" t="s">
        <v>17</v>
      </c>
      <c r="CF21" s="131">
        <f t="shared" si="25"/>
        <v>0.85585585585585566</v>
      </c>
      <c r="CG21" s="13">
        <f t="shared" si="26"/>
        <v>0.92192192192192179</v>
      </c>
      <c r="CH21" s="13">
        <f t="shared" si="27"/>
        <v>1.2012012012011993E-2</v>
      </c>
      <c r="CI21" s="13">
        <f t="shared" si="28"/>
        <v>7.8078078078078109E-2</v>
      </c>
      <c r="CJ21" s="13">
        <f t="shared" si="29"/>
        <v>4.0723981900452497E-2</v>
      </c>
      <c r="CK21" s="13">
        <f t="shared" si="30"/>
        <v>0.23981900452488691</v>
      </c>
      <c r="CL21" s="13">
        <f t="shared" si="31"/>
        <v>0.56108597285067874</v>
      </c>
      <c r="CM21" s="125">
        <f t="shared" si="32"/>
        <v>0.7601809954751132</v>
      </c>
      <c r="CO21" s="4" t="s">
        <v>21</v>
      </c>
      <c r="CP21" s="13">
        <f t="shared" si="24"/>
        <v>1.2272780717225163E-2</v>
      </c>
      <c r="CQ21" s="13">
        <f t="shared" si="23"/>
        <v>7.5693121693121701E-2</v>
      </c>
      <c r="CR21" s="13">
        <f t="shared" si="23"/>
        <v>0</v>
      </c>
      <c r="CS21" s="13">
        <f t="shared" si="23"/>
        <v>3.0288065843621357E-3</v>
      </c>
      <c r="CT21" s="13">
        <f t="shared" si="23"/>
        <v>0</v>
      </c>
      <c r="CU21" s="13">
        <f t="shared" si="23"/>
        <v>0.22311481621826448</v>
      </c>
      <c r="CV21" s="13">
        <f t="shared" si="23"/>
        <v>5.7976506252368318E-2</v>
      </c>
      <c r="CW21" s="13">
        <f t="shared" si="23"/>
        <v>0.28281546040166727</v>
      </c>
      <c r="DF21" s="13">
        <f>ABS(MIN(DF4:DF19))</f>
        <v>0.35575539528720473</v>
      </c>
      <c r="DG21" s="13">
        <f>MAX(DG4:DG19)</f>
        <v>0.4308803362571792</v>
      </c>
    </row>
    <row r="22" spans="1:119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114" t="s">
        <v>36</v>
      </c>
      <c r="U22" s="113">
        <f>MIN(U4:U8)</f>
        <v>2</v>
      </c>
      <c r="V22" s="113">
        <f>MIN(V16:V19)</f>
        <v>70</v>
      </c>
      <c r="W22" s="113">
        <f>MIN(W18:W19)</f>
        <v>15</v>
      </c>
      <c r="X22" s="113">
        <f>MIN(X4:X13)</f>
        <v>0</v>
      </c>
      <c r="Y22" s="113"/>
      <c r="Z22" s="113"/>
      <c r="AA22" s="113"/>
      <c r="AB22" s="113"/>
      <c r="AC22" s="113"/>
      <c r="AD22" s="122"/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79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39" t="s">
        <v>4</v>
      </c>
      <c r="BE22" s="43">
        <f t="shared" si="9"/>
        <v>4.8231511254019255E-2</v>
      </c>
      <c r="BF22" s="44">
        <f t="shared" si="9"/>
        <v>0.94915254237288138</v>
      </c>
      <c r="BG22" s="44">
        <f t="shared" si="9"/>
        <v>1</v>
      </c>
      <c r="BH22" s="79">
        <f t="shared" si="9"/>
        <v>0.11111111111111116</v>
      </c>
      <c r="BI22" s="45"/>
      <c r="BJ22" s="144"/>
      <c r="BK22" s="47" t="s">
        <v>64</v>
      </c>
      <c r="BL22" s="47" t="s">
        <v>65</v>
      </c>
      <c r="BM22" s="47" t="s">
        <v>66</v>
      </c>
      <c r="BN22" s="47" t="s">
        <v>67</v>
      </c>
      <c r="BO22" s="47" t="s">
        <v>64</v>
      </c>
      <c r="BP22" s="47" t="s">
        <v>65</v>
      </c>
      <c r="BQ22" s="47" t="s">
        <v>66</v>
      </c>
      <c r="BR22" s="48" t="s">
        <v>67</v>
      </c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" t="s">
        <v>21</v>
      </c>
      <c r="CF22" s="131">
        <f t="shared" si="25"/>
        <v>0.97460317460317469</v>
      </c>
      <c r="CG22" s="13">
        <f t="shared" si="26"/>
        <v>0.98730158730158746</v>
      </c>
      <c r="CH22" s="13">
        <f t="shared" si="27"/>
        <v>0</v>
      </c>
      <c r="CI22" s="13">
        <f t="shared" si="28"/>
        <v>1.2698412698412683E-2</v>
      </c>
      <c r="CJ22" s="13">
        <f>BL38</f>
        <v>0</v>
      </c>
      <c r="CK22" s="13">
        <f t="shared" si="30"/>
        <v>0.35164835164835168</v>
      </c>
      <c r="CL22" s="13">
        <f t="shared" si="31"/>
        <v>0.2967032967032967</v>
      </c>
      <c r="CM22" s="125">
        <f t="shared" si="32"/>
        <v>0.64835164835164838</v>
      </c>
      <c r="CO22" s="38"/>
      <c r="CP22" s="51" t="s">
        <v>113</v>
      </c>
      <c r="CQ22" s="51" t="s">
        <v>114</v>
      </c>
      <c r="CR22" s="51" t="s">
        <v>113</v>
      </c>
      <c r="CS22" s="51" t="s">
        <v>114</v>
      </c>
      <c r="CT22" s="51" t="s">
        <v>115</v>
      </c>
      <c r="CU22" s="51" t="s">
        <v>116</v>
      </c>
      <c r="CV22" s="51" t="s">
        <v>115</v>
      </c>
      <c r="CW22" s="51" t="s">
        <v>116</v>
      </c>
    </row>
    <row r="23" spans="1:119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114" t="s">
        <v>107</v>
      </c>
      <c r="U23" s="113">
        <f>MIN(U9:U14)</f>
        <v>10</v>
      </c>
      <c r="V23" s="113">
        <f>MIN(V9:V15)</f>
        <v>40</v>
      </c>
      <c r="W23" s="113">
        <f>MIN(W16:W17)</f>
        <v>4</v>
      </c>
      <c r="X23" s="113">
        <f>MIN(X14:X15)</f>
        <v>2</v>
      </c>
      <c r="Y23" s="113"/>
      <c r="Z23" s="113"/>
      <c r="AA23" s="113"/>
      <c r="AB23" s="113"/>
      <c r="AC23" s="113"/>
      <c r="AD23" s="122"/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79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5</v>
      </c>
      <c r="BE23" s="43">
        <f t="shared" si="9"/>
        <v>1.6077170418006381E-2</v>
      </c>
      <c r="BF23" s="44">
        <f t="shared" si="9"/>
        <v>0.83615819209039555</v>
      </c>
      <c r="BG23" s="44">
        <f t="shared" si="9"/>
        <v>1</v>
      </c>
      <c r="BH23" s="79">
        <f t="shared" si="9"/>
        <v>0</v>
      </c>
      <c r="BI23" s="45"/>
      <c r="BJ23" s="39" t="s">
        <v>1</v>
      </c>
      <c r="BK23" s="13">
        <f t="shared" ref="BK23:BN38" si="36">BK5/(BO5+1-BK5)</f>
        <v>0.37028824833702878</v>
      </c>
      <c r="BL23" s="13">
        <f t="shared" si="36"/>
        <v>0.126984126984127</v>
      </c>
      <c r="BM23" s="13">
        <f t="shared" si="36"/>
        <v>3.2258064516129031E-2</v>
      </c>
      <c r="BN23" s="13">
        <f t="shared" si="36"/>
        <v>0.49999999999999989</v>
      </c>
      <c r="BO23" s="13">
        <f t="shared" ref="BO23:BR38" si="37">BO5/(BO5+1-BK5)</f>
        <v>0.68070953436807091</v>
      </c>
      <c r="BP23" s="13">
        <f t="shared" si="37"/>
        <v>0.42460317460317465</v>
      </c>
      <c r="BQ23" s="13">
        <f t="shared" si="37"/>
        <v>0.19354838709677422</v>
      </c>
      <c r="BR23" s="50">
        <f t="shared" si="37"/>
        <v>0.74999999999999989</v>
      </c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38"/>
      <c r="CF23" s="140" t="s">
        <v>72</v>
      </c>
      <c r="CG23" s="140"/>
      <c r="CH23" s="140" t="s">
        <v>73</v>
      </c>
      <c r="CI23" s="140"/>
      <c r="CJ23" s="140" t="s">
        <v>72</v>
      </c>
      <c r="CK23" s="140"/>
      <c r="CL23" s="140" t="s">
        <v>73</v>
      </c>
      <c r="CM23" s="140"/>
      <c r="CO23" s="4" t="s">
        <v>1</v>
      </c>
      <c r="CP23" s="13">
        <f t="shared" ref="CP23:CW38" si="38">CF27*CF$24</f>
        <v>1.2463343108504398E-2</v>
      </c>
      <c r="CQ23" s="13">
        <f t="shared" si="38"/>
        <v>0.175366568914956</v>
      </c>
      <c r="CR23" s="13">
        <f t="shared" si="38"/>
        <v>6.647116324535679E-2</v>
      </c>
      <c r="CS23" s="13">
        <f t="shared" si="38"/>
        <v>0.22482893450635386</v>
      </c>
      <c r="CT23" s="13">
        <f t="shared" si="38"/>
        <v>0</v>
      </c>
      <c r="CU23" s="13">
        <f t="shared" si="38"/>
        <v>7.1874999999999981E-2</v>
      </c>
      <c r="CV23" s="13">
        <f t="shared" si="38"/>
        <v>0</v>
      </c>
      <c r="CW23" s="13">
        <f t="shared" si="38"/>
        <v>0.11979166666666666</v>
      </c>
    </row>
    <row r="24" spans="1:119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114" t="s">
        <v>37</v>
      </c>
      <c r="U24" s="113">
        <f>MIN(U15:U19)</f>
        <v>51</v>
      </c>
      <c r="V24" s="113">
        <f>MIN(V4:V8)</f>
        <v>14</v>
      </c>
      <c r="W24" s="113">
        <f>MIN(W4:W15)</f>
        <v>0</v>
      </c>
      <c r="X24" s="113">
        <f>MIN(X16:X19)</f>
        <v>6</v>
      </c>
      <c r="Y24" s="113"/>
      <c r="Z24" s="113"/>
      <c r="AA24" s="113"/>
      <c r="AB24" s="113"/>
      <c r="AC24" s="113"/>
      <c r="AD24" s="122"/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79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6</v>
      </c>
      <c r="BE24" s="43">
        <f t="shared" si="9"/>
        <v>0.18327974276527326</v>
      </c>
      <c r="BF24" s="44">
        <f t="shared" si="9"/>
        <v>0.36723163841807904</v>
      </c>
      <c r="BG24" s="44">
        <f t="shared" si="9"/>
        <v>0.92307692307692313</v>
      </c>
      <c r="BH24" s="79">
        <f t="shared" si="9"/>
        <v>0.22222222222222221</v>
      </c>
      <c r="BI24" s="45"/>
      <c r="BJ24" s="39" t="s">
        <v>2</v>
      </c>
      <c r="BK24" s="13">
        <f t="shared" si="36"/>
        <v>0.9872204472843451</v>
      </c>
      <c r="BL24" s="13">
        <f t="shared" si="36"/>
        <v>7.3578595317725759E-2</v>
      </c>
      <c r="BM24" s="13">
        <f t="shared" si="36"/>
        <v>0.04</v>
      </c>
      <c r="BN24" s="13">
        <f t="shared" si="36"/>
        <v>0.79999999999999993</v>
      </c>
      <c r="BO24" s="13">
        <f t="shared" si="37"/>
        <v>0.99361022364217255</v>
      </c>
      <c r="BP24" s="13">
        <f t="shared" si="37"/>
        <v>0.48160535117056857</v>
      </c>
      <c r="BQ24" s="13">
        <f t="shared" si="37"/>
        <v>0.52</v>
      </c>
      <c r="BR24" s="50">
        <f t="shared" si="37"/>
        <v>0.89999999999999991</v>
      </c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30"/>
      <c r="CF24" s="103">
        <f>AC37</f>
        <v>0.38636363636363635</v>
      </c>
      <c r="CG24" s="104">
        <f>AC38</f>
        <v>0.9060606060606059</v>
      </c>
      <c r="CH24" s="104">
        <f>AC39</f>
        <v>0.10303030303030303</v>
      </c>
      <c r="CI24" s="104">
        <f>AC40</f>
        <v>0.27878787878787875</v>
      </c>
      <c r="CJ24" s="104">
        <f>AD37</f>
        <v>0</v>
      </c>
      <c r="CK24" s="104">
        <f>AD38</f>
        <v>9.5833333333333326E-2</v>
      </c>
      <c r="CL24" s="104">
        <f>AD39</f>
        <v>0.14166666666666666</v>
      </c>
      <c r="CM24" s="105">
        <f>AD40</f>
        <v>0.47916666666666663</v>
      </c>
      <c r="CO24" s="4" t="s">
        <v>2</v>
      </c>
      <c r="CP24" s="13">
        <f t="shared" si="38"/>
        <v>1.5454545454545455E-2</v>
      </c>
      <c r="CQ24" s="13">
        <f t="shared" si="38"/>
        <v>0.4711515151515151</v>
      </c>
      <c r="CR24" s="13">
        <f t="shared" si="38"/>
        <v>0</v>
      </c>
      <c r="CS24" s="13">
        <f t="shared" si="38"/>
        <v>0.13381818181818181</v>
      </c>
      <c r="CT24" s="13">
        <f t="shared" si="38"/>
        <v>0</v>
      </c>
      <c r="CU24" s="13">
        <f t="shared" si="38"/>
        <v>8.6249999999999979E-2</v>
      </c>
      <c r="CV24" s="13">
        <f t="shared" si="38"/>
        <v>0</v>
      </c>
      <c r="CW24" s="13">
        <f t="shared" si="38"/>
        <v>4.7916666666666677E-2</v>
      </c>
    </row>
    <row r="25" spans="1:119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114"/>
      <c r="U25" s="113"/>
      <c r="V25" s="113"/>
      <c r="W25" s="113"/>
      <c r="X25" s="113"/>
      <c r="Y25" s="113"/>
      <c r="Z25" s="113"/>
      <c r="AA25" s="113"/>
      <c r="AB25" s="113"/>
      <c r="AC25" s="113"/>
      <c r="AD25" s="122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79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8</v>
      </c>
      <c r="BE25" s="43">
        <f t="shared" si="9"/>
        <v>3.2154340836012874E-2</v>
      </c>
      <c r="BF25" s="44">
        <f t="shared" si="9"/>
        <v>0.75706214689265539</v>
      </c>
      <c r="BG25" s="44">
        <f t="shared" si="9"/>
        <v>1</v>
      </c>
      <c r="BH25" s="79">
        <f t="shared" si="9"/>
        <v>0.22222222222222221</v>
      </c>
      <c r="BI25" s="45"/>
      <c r="BJ25" s="39" t="s">
        <v>4</v>
      </c>
      <c r="BK25" s="13">
        <f t="shared" si="36"/>
        <v>0.62299465240641705</v>
      </c>
      <c r="BL25" s="13">
        <f t="shared" si="36"/>
        <v>4.1666666666666664E-2</v>
      </c>
      <c r="BM25" s="13">
        <f t="shared" si="36"/>
        <v>0</v>
      </c>
      <c r="BN25" s="13">
        <f t="shared" si="36"/>
        <v>0.63636363636363635</v>
      </c>
      <c r="BO25" s="13">
        <f t="shared" si="37"/>
        <v>0.79144385026737973</v>
      </c>
      <c r="BP25" s="13">
        <f t="shared" si="37"/>
        <v>0.11979166666666666</v>
      </c>
      <c r="BQ25" s="13">
        <f t="shared" si="37"/>
        <v>7.1428571428571438E-2</v>
      </c>
      <c r="BR25" s="50">
        <f t="shared" si="37"/>
        <v>0.81818181818181812</v>
      </c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30"/>
      <c r="CF25" s="141" t="s">
        <v>40</v>
      </c>
      <c r="CG25" s="142"/>
      <c r="CH25" s="141" t="s">
        <v>41</v>
      </c>
      <c r="CI25" s="142"/>
      <c r="CJ25" s="141" t="s">
        <v>40</v>
      </c>
      <c r="CK25" s="142"/>
      <c r="CL25" s="141" t="s">
        <v>41</v>
      </c>
      <c r="CM25" s="142"/>
      <c r="CO25" s="4" t="s">
        <v>4</v>
      </c>
      <c r="CP25" s="13">
        <f t="shared" si="38"/>
        <v>0</v>
      </c>
      <c r="CQ25" s="13">
        <f t="shared" si="38"/>
        <v>6.4718614718614717E-2</v>
      </c>
      <c r="CR25" s="13">
        <f t="shared" si="38"/>
        <v>8.8311688311688313E-2</v>
      </c>
      <c r="CS25" s="13">
        <f t="shared" si="38"/>
        <v>0.25887445887445887</v>
      </c>
      <c r="CT25" s="13">
        <f t="shared" si="38"/>
        <v>0</v>
      </c>
      <c r="CU25" s="13">
        <f t="shared" si="38"/>
        <v>7.8409090909090901E-2</v>
      </c>
      <c r="CV25" s="13">
        <f t="shared" si="38"/>
        <v>0</v>
      </c>
      <c r="CW25" s="13">
        <f t="shared" si="38"/>
        <v>8.7121212121212099E-2</v>
      </c>
    </row>
    <row r="26" spans="1:119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114" t="s">
        <v>70</v>
      </c>
      <c r="U26" s="113"/>
      <c r="V26" s="113"/>
      <c r="W26" s="113"/>
      <c r="X26" s="113"/>
      <c r="Y26" s="113"/>
      <c r="Z26" s="113"/>
      <c r="AA26" s="113"/>
      <c r="AB26" s="113"/>
      <c r="AC26" s="113"/>
      <c r="AD26" s="122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79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9</v>
      </c>
      <c r="BE26" s="43">
        <f t="shared" si="9"/>
        <v>7.0739549839228255E-2</v>
      </c>
      <c r="BF26" s="44">
        <f t="shared" si="9"/>
        <v>0.79661016949152541</v>
      </c>
      <c r="BG26" s="44">
        <f t="shared" si="9"/>
        <v>0.96153846153846156</v>
      </c>
      <c r="BH26" s="79">
        <f t="shared" si="9"/>
        <v>0.22222222222222221</v>
      </c>
      <c r="BI26" s="45"/>
      <c r="BJ26" s="39" t="s">
        <v>5</v>
      </c>
      <c r="BK26" s="13">
        <f t="shared" si="36"/>
        <v>0.81470588235294117</v>
      </c>
      <c r="BL26" s="13">
        <f t="shared" si="36"/>
        <v>0.1</v>
      </c>
      <c r="BM26" s="13">
        <f t="shared" si="36"/>
        <v>0</v>
      </c>
      <c r="BN26" s="13">
        <f t="shared" si="36"/>
        <v>0.63636363636363635</v>
      </c>
      <c r="BO26" s="13">
        <f t="shared" si="37"/>
        <v>0.90000000000000013</v>
      </c>
      <c r="BP26" s="13">
        <f t="shared" si="37"/>
        <v>0.36250000000000004</v>
      </c>
      <c r="BQ26" s="13">
        <f t="shared" si="37"/>
        <v>7.1428571428571438E-2</v>
      </c>
      <c r="BR26" s="50">
        <f t="shared" si="37"/>
        <v>0.81818181818181812</v>
      </c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38"/>
      <c r="CF26" s="51" t="s">
        <v>113</v>
      </c>
      <c r="CG26" s="51" t="s">
        <v>114</v>
      </c>
      <c r="CH26" s="51" t="s">
        <v>113</v>
      </c>
      <c r="CI26" s="51" t="s">
        <v>114</v>
      </c>
      <c r="CJ26" s="51" t="s">
        <v>115</v>
      </c>
      <c r="CK26" s="51" t="s">
        <v>116</v>
      </c>
      <c r="CL26" s="51" t="s">
        <v>115</v>
      </c>
      <c r="CM26" s="51" t="s">
        <v>116</v>
      </c>
      <c r="CO26" s="4" t="s">
        <v>5</v>
      </c>
      <c r="CP26" s="13">
        <f t="shared" si="38"/>
        <v>0</v>
      </c>
      <c r="CQ26" s="13">
        <f t="shared" si="38"/>
        <v>6.4718614718614717E-2</v>
      </c>
      <c r="CR26" s="13">
        <f t="shared" si="38"/>
        <v>8.8311688311688313E-2</v>
      </c>
      <c r="CS26" s="13">
        <f t="shared" si="38"/>
        <v>0.25887445887445887</v>
      </c>
      <c r="CT26" s="13">
        <f t="shared" si="38"/>
        <v>0</v>
      </c>
      <c r="CU26" s="13">
        <f t="shared" si="38"/>
        <v>7.8409090909090901E-2</v>
      </c>
      <c r="CV26" s="13">
        <f t="shared" si="38"/>
        <v>0</v>
      </c>
      <c r="CW26" s="13">
        <f t="shared" si="38"/>
        <v>8.7121212121212099E-2</v>
      </c>
    </row>
    <row r="27" spans="1:119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114" t="s">
        <v>36</v>
      </c>
      <c r="U27" s="113">
        <f>MAX(U4:U8)</f>
        <v>9</v>
      </c>
      <c r="V27" s="113">
        <f>MAX(V16:V19)</f>
        <v>96</v>
      </c>
      <c r="W27" s="113">
        <f>MAX(W18:W19)</f>
        <v>26</v>
      </c>
      <c r="X27" s="113">
        <f>MAX(X4:X13)</f>
        <v>1</v>
      </c>
      <c r="Y27" s="113"/>
      <c r="Z27" s="113"/>
      <c r="AA27" s="113"/>
      <c r="AB27" s="113"/>
      <c r="AC27" s="113"/>
      <c r="AD27" s="122"/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79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10</v>
      </c>
      <c r="BE27" s="43">
        <f t="shared" si="9"/>
        <v>0.19935691318327975</v>
      </c>
      <c r="BF27" s="44">
        <f t="shared" si="9"/>
        <v>0.76271186440677963</v>
      </c>
      <c r="BG27" s="44">
        <f t="shared" si="9"/>
        <v>0.96153846153846156</v>
      </c>
      <c r="BH27" s="79">
        <f t="shared" si="9"/>
        <v>0.22222222222222221</v>
      </c>
      <c r="BI27" s="45"/>
      <c r="BJ27" s="39" t="s">
        <v>6</v>
      </c>
      <c r="BK27" s="13">
        <f t="shared" si="36"/>
        <v>0.72988505747126442</v>
      </c>
      <c r="BL27" s="13">
        <f t="shared" si="36"/>
        <v>0.28326180257510725</v>
      </c>
      <c r="BM27" s="13">
        <f t="shared" si="36"/>
        <v>0</v>
      </c>
      <c r="BN27" s="13">
        <f t="shared" si="36"/>
        <v>0.63636363636363635</v>
      </c>
      <c r="BO27" s="13">
        <f t="shared" si="37"/>
        <v>0.8362068965517242</v>
      </c>
      <c r="BP27" s="13">
        <f t="shared" si="37"/>
        <v>0.5236051502145922</v>
      </c>
      <c r="BQ27" s="13">
        <f t="shared" si="37"/>
        <v>0.10344827586206896</v>
      </c>
      <c r="BR27" s="50">
        <f t="shared" si="37"/>
        <v>0.81818181818181812</v>
      </c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" t="s">
        <v>1</v>
      </c>
      <c r="CF27" s="131">
        <f>BM23</f>
        <v>3.2258064516129031E-2</v>
      </c>
      <c r="CG27" s="13">
        <f>BQ23</f>
        <v>0.19354838709677422</v>
      </c>
      <c r="CH27" s="13">
        <f>BM41</f>
        <v>0.64516129032258063</v>
      </c>
      <c r="CI27" s="13">
        <f>BQ41</f>
        <v>0.80645161290322587</v>
      </c>
      <c r="CJ27" s="13">
        <f>BN23</f>
        <v>0.49999999999999989</v>
      </c>
      <c r="CK27" s="13">
        <f>BR23</f>
        <v>0.74999999999999989</v>
      </c>
      <c r="CL27" s="13">
        <f>BN41</f>
        <v>0</v>
      </c>
      <c r="CM27" s="125">
        <f>BR41</f>
        <v>0.25</v>
      </c>
      <c r="CO27" s="4" t="s">
        <v>6</v>
      </c>
      <c r="CP27" s="13">
        <f t="shared" si="38"/>
        <v>0</v>
      </c>
      <c r="CQ27" s="13">
        <f t="shared" si="38"/>
        <v>9.3730407523510959E-2</v>
      </c>
      <c r="CR27" s="13">
        <f t="shared" si="38"/>
        <v>8.1713688610240323E-2</v>
      </c>
      <c r="CS27" s="13">
        <f t="shared" si="38"/>
        <v>0.24994775339602923</v>
      </c>
      <c r="CT27" s="13">
        <f t="shared" si="38"/>
        <v>0</v>
      </c>
      <c r="CU27" s="13">
        <f t="shared" si="38"/>
        <v>7.8409090909090901E-2</v>
      </c>
      <c r="CV27" s="13">
        <f t="shared" si="38"/>
        <v>0</v>
      </c>
      <c r="CW27" s="13">
        <f t="shared" si="38"/>
        <v>8.7121212121212099E-2</v>
      </c>
    </row>
    <row r="28" spans="1:119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114" t="s">
        <v>107</v>
      </c>
      <c r="U28" s="113">
        <f>MAX(U9:U14)</f>
        <v>28</v>
      </c>
      <c r="V28" s="113">
        <f>MAX(V9:V15)</f>
        <v>66</v>
      </c>
      <c r="W28" s="113">
        <f>MAX(W16:W17)</f>
        <v>8</v>
      </c>
      <c r="X28" s="113">
        <f>MAX(X14:X15)</f>
        <v>5</v>
      </c>
      <c r="Y28" s="113"/>
      <c r="Z28" s="113"/>
      <c r="AA28" s="113"/>
      <c r="AB28" s="113"/>
      <c r="AC28" s="113"/>
      <c r="AD28" s="122"/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79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11</v>
      </c>
      <c r="BE28" s="43">
        <f t="shared" si="9"/>
        <v>9.6463022508038732E-3</v>
      </c>
      <c r="BF28" s="44">
        <f t="shared" si="9"/>
        <v>0.50282485875706207</v>
      </c>
      <c r="BG28" s="44">
        <f t="shared" si="9"/>
        <v>1</v>
      </c>
      <c r="BH28" s="79">
        <f t="shared" si="9"/>
        <v>0</v>
      </c>
      <c r="BI28" s="45"/>
      <c r="BJ28" s="39" t="s">
        <v>8</v>
      </c>
      <c r="BK28" s="13">
        <f t="shared" si="36"/>
        <v>0.80530973451327437</v>
      </c>
      <c r="BL28" s="13">
        <f t="shared" si="36"/>
        <v>0.16019417475728154</v>
      </c>
      <c r="BM28" s="13">
        <f t="shared" si="36"/>
        <v>0</v>
      </c>
      <c r="BN28" s="13">
        <f t="shared" si="36"/>
        <v>0.49999999999999989</v>
      </c>
      <c r="BO28" s="13">
        <f t="shared" si="37"/>
        <v>0.88790560471976399</v>
      </c>
      <c r="BP28" s="13">
        <f t="shared" si="37"/>
        <v>0.30097087378640774</v>
      </c>
      <c r="BQ28" s="13">
        <f t="shared" si="37"/>
        <v>7.1428571428571438E-2</v>
      </c>
      <c r="BR28" s="50">
        <f t="shared" si="37"/>
        <v>0.74999999999999989</v>
      </c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" t="s">
        <v>2</v>
      </c>
      <c r="CF28" s="131">
        <f t="shared" ref="CF28:CF41" si="39">BM24</f>
        <v>0.04</v>
      </c>
      <c r="CG28" s="13">
        <f t="shared" ref="CG28:CG41" si="40">BQ24</f>
        <v>0.52</v>
      </c>
      <c r="CH28" s="13">
        <f t="shared" ref="CH28:CH41" si="41">BM42</f>
        <v>0</v>
      </c>
      <c r="CI28" s="13">
        <f t="shared" ref="CI28:CI42" si="42">BQ42</f>
        <v>0.48000000000000004</v>
      </c>
      <c r="CJ28" s="13">
        <f t="shared" ref="CJ28:CJ41" si="43">BN24</f>
        <v>0.79999999999999993</v>
      </c>
      <c r="CK28" s="13">
        <f t="shared" ref="CK28:CK42" si="44">BR24</f>
        <v>0.89999999999999991</v>
      </c>
      <c r="CL28" s="13">
        <f t="shared" ref="CL28:CL41" si="45">BN42</f>
        <v>0</v>
      </c>
      <c r="CM28" s="125">
        <f t="shared" ref="CM28:CM41" si="46">BR42</f>
        <v>0.10000000000000003</v>
      </c>
      <c r="CO28" s="4" t="s">
        <v>8</v>
      </c>
      <c r="CP28" s="13">
        <f t="shared" si="38"/>
        <v>0</v>
      </c>
      <c r="CQ28" s="13">
        <f t="shared" si="38"/>
        <v>6.4718614718614717E-2</v>
      </c>
      <c r="CR28" s="13">
        <f t="shared" si="38"/>
        <v>8.8311688311688313E-2</v>
      </c>
      <c r="CS28" s="13">
        <f t="shared" si="38"/>
        <v>0.25887445887445887</v>
      </c>
      <c r="CT28" s="13">
        <f t="shared" si="38"/>
        <v>0</v>
      </c>
      <c r="CU28" s="13">
        <f t="shared" si="38"/>
        <v>7.1874999999999981E-2</v>
      </c>
      <c r="CV28" s="13">
        <f t="shared" si="38"/>
        <v>0</v>
      </c>
      <c r="CW28" s="13">
        <f t="shared" si="38"/>
        <v>0.11979166666666666</v>
      </c>
    </row>
    <row r="29" spans="1:119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114" t="s">
        <v>37</v>
      </c>
      <c r="U29" s="113">
        <f>MAX(U15:U19)</f>
        <v>116</v>
      </c>
      <c r="V29" s="113">
        <f>MAX(V4:V8)</f>
        <v>38</v>
      </c>
      <c r="W29" s="113">
        <f>MAX(W4:W15)</f>
        <v>3</v>
      </c>
      <c r="X29" s="113">
        <f>MAX(X16:X19)</f>
        <v>9</v>
      </c>
      <c r="Y29" s="113"/>
      <c r="Z29" s="113"/>
      <c r="AA29" s="113"/>
      <c r="AB29" s="113"/>
      <c r="AC29" s="113"/>
      <c r="AD29" s="122"/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79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12</v>
      </c>
      <c r="BE29" s="43">
        <f t="shared" si="9"/>
        <v>1</v>
      </c>
      <c r="BF29" s="44">
        <f t="shared" si="9"/>
        <v>0.65536723163841804</v>
      </c>
      <c r="BG29" s="44">
        <f t="shared" si="9"/>
        <v>0.38461538461538458</v>
      </c>
      <c r="BH29" s="79">
        <f t="shared" si="9"/>
        <v>0.77777777777777779</v>
      </c>
      <c r="BI29" s="45"/>
      <c r="BJ29" s="39" t="s">
        <v>9</v>
      </c>
      <c r="BK29" s="13">
        <f t="shared" si="36"/>
        <v>0.47911547911547908</v>
      </c>
      <c r="BL29" s="13">
        <f t="shared" si="36"/>
        <v>7.598784194528875E-2</v>
      </c>
      <c r="BM29" s="13">
        <f t="shared" si="36"/>
        <v>0</v>
      </c>
      <c r="BN29" s="13">
        <f t="shared" si="36"/>
        <v>0</v>
      </c>
      <c r="BO29" s="13">
        <f t="shared" si="37"/>
        <v>0.71498771498771496</v>
      </c>
      <c r="BP29" s="13">
        <f t="shared" si="37"/>
        <v>0.53799392097264431</v>
      </c>
      <c r="BQ29" s="13">
        <f t="shared" si="37"/>
        <v>0.10344827586206896</v>
      </c>
      <c r="BR29" s="50">
        <f t="shared" si="37"/>
        <v>0.5</v>
      </c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" t="s">
        <v>4</v>
      </c>
      <c r="CF29" s="131">
        <f t="shared" si="39"/>
        <v>0</v>
      </c>
      <c r="CG29" s="13">
        <f t="shared" si="40"/>
        <v>7.1428571428571438E-2</v>
      </c>
      <c r="CH29" s="13">
        <f t="shared" si="41"/>
        <v>0.85714285714285721</v>
      </c>
      <c r="CI29" s="13">
        <f t="shared" si="42"/>
        <v>0.9285714285714286</v>
      </c>
      <c r="CJ29" s="13">
        <f t="shared" si="43"/>
        <v>0.63636363636363635</v>
      </c>
      <c r="CK29" s="13">
        <f t="shared" si="44"/>
        <v>0.81818181818181812</v>
      </c>
      <c r="CL29" s="13">
        <f t="shared" si="45"/>
        <v>0</v>
      </c>
      <c r="CM29" s="125">
        <f t="shared" si="46"/>
        <v>0.1818181818181818</v>
      </c>
      <c r="CO29" s="4" t="s">
        <v>9</v>
      </c>
      <c r="CP29" s="13">
        <f t="shared" si="38"/>
        <v>0</v>
      </c>
      <c r="CQ29" s="13">
        <f t="shared" si="38"/>
        <v>9.3730407523510959E-2</v>
      </c>
      <c r="CR29" s="13">
        <f t="shared" si="38"/>
        <v>8.1713688610240323E-2</v>
      </c>
      <c r="CS29" s="13">
        <f t="shared" si="38"/>
        <v>0.24994775339602923</v>
      </c>
      <c r="CT29" s="13">
        <f t="shared" si="38"/>
        <v>0</v>
      </c>
      <c r="CU29" s="13">
        <f t="shared" si="38"/>
        <v>4.7916666666666663E-2</v>
      </c>
      <c r="CV29" s="13">
        <f t="shared" si="38"/>
        <v>0</v>
      </c>
      <c r="CW29" s="13">
        <f t="shared" si="38"/>
        <v>0.23958333333333331</v>
      </c>
    </row>
    <row r="30" spans="1:119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114"/>
      <c r="U30" s="113"/>
      <c r="V30" s="113"/>
      <c r="W30" s="113"/>
      <c r="X30" s="113"/>
      <c r="Y30" s="113"/>
      <c r="Z30" s="113"/>
      <c r="AA30" s="113"/>
      <c r="AB30" s="113"/>
      <c r="AC30" s="113"/>
      <c r="AD30" s="122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79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13</v>
      </c>
      <c r="BE30" s="43">
        <f t="shared" si="9"/>
        <v>2.2508038585209E-2</v>
      </c>
      <c r="BF30" s="44">
        <f t="shared" si="9"/>
        <v>0.61581920903954801</v>
      </c>
      <c r="BG30" s="44">
        <f t="shared" si="9"/>
        <v>0.88461538461538458</v>
      </c>
      <c r="BH30" s="79">
        <f t="shared" si="9"/>
        <v>0.11111111111111116</v>
      </c>
      <c r="BI30" s="45"/>
      <c r="BJ30" s="39" t="s">
        <v>10</v>
      </c>
      <c r="BK30" s="13">
        <f t="shared" si="36"/>
        <v>0.40384615384615391</v>
      </c>
      <c r="BL30" s="13">
        <f t="shared" si="36"/>
        <v>0.14778325123152708</v>
      </c>
      <c r="BM30" s="13">
        <f t="shared" si="36"/>
        <v>2.9411764705882353E-2</v>
      </c>
      <c r="BN30" s="13">
        <f t="shared" si="36"/>
        <v>0.23076923076923075</v>
      </c>
      <c r="BO30" s="13">
        <f t="shared" si="37"/>
        <v>0.65625</v>
      </c>
      <c r="BP30" s="13">
        <f t="shared" si="37"/>
        <v>0.27586206896551729</v>
      </c>
      <c r="BQ30" s="13">
        <f t="shared" si="37"/>
        <v>0.26470588235294118</v>
      </c>
      <c r="BR30" s="50">
        <f t="shared" si="37"/>
        <v>0.53846153846153844</v>
      </c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" t="s">
        <v>5</v>
      </c>
      <c r="CF30" s="131">
        <f t="shared" si="39"/>
        <v>0</v>
      </c>
      <c r="CG30" s="13">
        <f t="shared" si="40"/>
        <v>7.1428571428571438E-2</v>
      </c>
      <c r="CH30" s="13">
        <f t="shared" si="41"/>
        <v>0.85714285714285721</v>
      </c>
      <c r="CI30" s="13">
        <f t="shared" si="42"/>
        <v>0.9285714285714286</v>
      </c>
      <c r="CJ30" s="13">
        <f t="shared" si="43"/>
        <v>0.63636363636363635</v>
      </c>
      <c r="CK30" s="13">
        <f t="shared" si="44"/>
        <v>0.81818181818181812</v>
      </c>
      <c r="CL30" s="13">
        <f t="shared" si="45"/>
        <v>0</v>
      </c>
      <c r="CM30" s="125">
        <f t="shared" si="46"/>
        <v>0.1818181818181818</v>
      </c>
      <c r="CO30" s="4" t="s">
        <v>10</v>
      </c>
      <c r="CP30" s="13">
        <f t="shared" si="38"/>
        <v>1.1363636363636364E-2</v>
      </c>
      <c r="CQ30" s="13">
        <f t="shared" si="38"/>
        <v>0.23983957219251334</v>
      </c>
      <c r="CR30" s="13">
        <f t="shared" si="38"/>
        <v>5.1515151515151514E-2</v>
      </c>
      <c r="CS30" s="13">
        <f t="shared" si="38"/>
        <v>0.20499108734402852</v>
      </c>
      <c r="CT30" s="13">
        <f t="shared" si="38"/>
        <v>0</v>
      </c>
      <c r="CU30" s="13">
        <f t="shared" si="38"/>
        <v>5.1602564102564093E-2</v>
      </c>
      <c r="CV30" s="13">
        <f t="shared" si="38"/>
        <v>2.179487179487179E-2</v>
      </c>
      <c r="CW30" s="13">
        <f t="shared" si="38"/>
        <v>0.22115384615384617</v>
      </c>
    </row>
    <row r="31" spans="1:119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114" t="s">
        <v>117</v>
      </c>
      <c r="U31" s="113"/>
      <c r="V31" s="113"/>
      <c r="W31" s="113"/>
      <c r="X31" s="113"/>
      <c r="Y31" s="113"/>
      <c r="Z31" s="113"/>
      <c r="AA31" s="113"/>
      <c r="AB31" s="113"/>
      <c r="AC31" s="113"/>
      <c r="AD31" s="122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79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14</v>
      </c>
      <c r="BE31" s="43">
        <f t="shared" si="9"/>
        <v>7.7170418006430874E-2</v>
      </c>
      <c r="BF31" s="44">
        <f t="shared" si="9"/>
        <v>0.67231638418079098</v>
      </c>
      <c r="BG31" s="44">
        <f t="shared" si="9"/>
        <v>0.96153846153846156</v>
      </c>
      <c r="BH31" s="79">
        <f t="shared" si="9"/>
        <v>0.11111111111111116</v>
      </c>
      <c r="BI31" s="45"/>
      <c r="BJ31" s="39" t="s">
        <v>11</v>
      </c>
      <c r="BK31" s="13">
        <f t="shared" si="36"/>
        <v>0.98089171974522282</v>
      </c>
      <c r="BL31" s="13">
        <f t="shared" si="36"/>
        <v>0.29596412556053808</v>
      </c>
      <c r="BM31" s="13">
        <f t="shared" si="36"/>
        <v>0</v>
      </c>
      <c r="BN31" s="13">
        <f t="shared" si="36"/>
        <v>1</v>
      </c>
      <c r="BO31" s="13">
        <f t="shared" si="37"/>
        <v>0.99044585987261136</v>
      </c>
      <c r="BP31" s="13">
        <f t="shared" si="37"/>
        <v>0.50224215246636772</v>
      </c>
      <c r="BQ31" s="13">
        <f t="shared" si="37"/>
        <v>0</v>
      </c>
      <c r="BR31" s="50">
        <f t="shared" si="37"/>
        <v>1</v>
      </c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" t="s">
        <v>6</v>
      </c>
      <c r="CF31" s="131">
        <f t="shared" si="39"/>
        <v>0</v>
      </c>
      <c r="CG31" s="13">
        <f t="shared" si="40"/>
        <v>0.10344827586206896</v>
      </c>
      <c r="CH31" s="13">
        <f t="shared" si="41"/>
        <v>0.79310344827586199</v>
      </c>
      <c r="CI31" s="13">
        <f t="shared" si="42"/>
        <v>0.89655172413793105</v>
      </c>
      <c r="CJ31" s="13">
        <f t="shared" si="43"/>
        <v>0.63636363636363635</v>
      </c>
      <c r="CK31" s="13">
        <f t="shared" si="44"/>
        <v>0.81818181818181812</v>
      </c>
      <c r="CL31" s="13">
        <f t="shared" si="45"/>
        <v>0</v>
      </c>
      <c r="CM31" s="125">
        <f t="shared" si="46"/>
        <v>0.1818181818181818</v>
      </c>
      <c r="CO31" s="4" t="s">
        <v>11</v>
      </c>
      <c r="CP31" s="13">
        <f t="shared" si="38"/>
        <v>0</v>
      </c>
      <c r="CQ31" s="13">
        <f t="shared" si="38"/>
        <v>0</v>
      </c>
      <c r="CR31" s="13">
        <f t="shared" si="38"/>
        <v>0.10303030303030303</v>
      </c>
      <c r="CS31" s="13">
        <f t="shared" si="38"/>
        <v>0.27878787878787875</v>
      </c>
      <c r="CT31" s="13">
        <f t="shared" si="38"/>
        <v>0</v>
      </c>
      <c r="CU31" s="13">
        <f t="shared" si="38"/>
        <v>9.5833333333333326E-2</v>
      </c>
      <c r="CV31" s="13">
        <f t="shared" si="38"/>
        <v>0</v>
      </c>
      <c r="CW31" s="13">
        <f t="shared" si="38"/>
        <v>0</v>
      </c>
    </row>
    <row r="32" spans="1:119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114"/>
      <c r="U32" s="113">
        <f>(U27+U29+U23)</f>
        <v>135</v>
      </c>
      <c r="V32" s="113">
        <f t="shared" ref="V32:X32" si="47">(V27+V29+V23)</f>
        <v>174</v>
      </c>
      <c r="W32" s="113">
        <f t="shared" si="47"/>
        <v>33</v>
      </c>
      <c r="X32" s="113">
        <f t="shared" si="47"/>
        <v>12</v>
      </c>
      <c r="Y32" s="91"/>
      <c r="Z32" s="92"/>
      <c r="AA32" s="92"/>
      <c r="AB32" s="92"/>
      <c r="AC32" s="92"/>
      <c r="AD32" s="93"/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79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15</v>
      </c>
      <c r="BE32" s="43">
        <f t="shared" si="9"/>
        <v>9.6463022508038732E-3</v>
      </c>
      <c r="BF32" s="44">
        <f t="shared" si="9"/>
        <v>0.85875706214689262</v>
      </c>
      <c r="BG32" s="44">
        <f t="shared" si="9"/>
        <v>1</v>
      </c>
      <c r="BH32" s="79">
        <f t="shared" si="9"/>
        <v>0.11111111111111116</v>
      </c>
      <c r="BI32" s="45"/>
      <c r="BJ32" s="39" t="s">
        <v>12</v>
      </c>
      <c r="BK32" s="13">
        <f t="shared" si="36"/>
        <v>0</v>
      </c>
      <c r="BL32" s="13">
        <f t="shared" si="36"/>
        <v>9.606986899563319E-2</v>
      </c>
      <c r="BM32" s="13">
        <f t="shared" si="36"/>
        <v>2.4390243902439025E-2</v>
      </c>
      <c r="BN32" s="13">
        <f t="shared" si="36"/>
        <v>0.125</v>
      </c>
      <c r="BO32" s="13">
        <f t="shared" si="37"/>
        <v>0.4926590538336052</v>
      </c>
      <c r="BP32" s="13">
        <f t="shared" si="37"/>
        <v>0.32314410480349343</v>
      </c>
      <c r="BQ32" s="13">
        <f t="shared" si="37"/>
        <v>0.3902439024390244</v>
      </c>
      <c r="BR32" s="50">
        <f t="shared" si="37"/>
        <v>0.5625</v>
      </c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" t="s">
        <v>8</v>
      </c>
      <c r="CF32" s="131">
        <f t="shared" si="39"/>
        <v>0</v>
      </c>
      <c r="CG32" s="13">
        <f t="shared" si="40"/>
        <v>7.1428571428571438E-2</v>
      </c>
      <c r="CH32" s="13">
        <f t="shared" si="41"/>
        <v>0.85714285714285721</v>
      </c>
      <c r="CI32" s="13">
        <f t="shared" si="42"/>
        <v>0.9285714285714286</v>
      </c>
      <c r="CJ32" s="13">
        <f t="shared" si="43"/>
        <v>0.49999999999999989</v>
      </c>
      <c r="CK32" s="13">
        <f t="shared" si="44"/>
        <v>0.74999999999999989</v>
      </c>
      <c r="CL32" s="13">
        <f t="shared" si="45"/>
        <v>0</v>
      </c>
      <c r="CM32" s="125">
        <f t="shared" si="46"/>
        <v>0.25</v>
      </c>
      <c r="CO32" s="4" t="s">
        <v>12</v>
      </c>
      <c r="CP32" s="13">
        <f t="shared" si="38"/>
        <v>9.423503325942351E-3</v>
      </c>
      <c r="CQ32" s="13">
        <f t="shared" si="38"/>
        <v>0.3535846267553584</v>
      </c>
      <c r="CR32" s="13">
        <f t="shared" si="38"/>
        <v>2.5129342202512932E-2</v>
      </c>
      <c r="CS32" s="13">
        <f t="shared" si="38"/>
        <v>0.16999260901699922</v>
      </c>
      <c r="CT32" s="13">
        <f t="shared" si="38"/>
        <v>0</v>
      </c>
      <c r="CU32" s="13">
        <f t="shared" si="38"/>
        <v>5.3906249999999996E-2</v>
      </c>
      <c r="CV32" s="13">
        <f t="shared" si="38"/>
        <v>0</v>
      </c>
      <c r="CW32" s="13">
        <f t="shared" si="38"/>
        <v>0.20963541666666669</v>
      </c>
    </row>
    <row r="33" spans="1:101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114"/>
      <c r="U33" s="113"/>
      <c r="V33" s="113"/>
      <c r="W33" s="113"/>
      <c r="X33" s="113"/>
      <c r="Y33" s="94"/>
      <c r="Z33" s="135" t="s">
        <v>133</v>
      </c>
      <c r="AD33" s="95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79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16</v>
      </c>
      <c r="BE33" s="43">
        <f t="shared" si="9"/>
        <v>0.16077170418006426</v>
      </c>
      <c r="BF33" s="44">
        <f t="shared" si="9"/>
        <v>0.77966101694915257</v>
      </c>
      <c r="BG33" s="44">
        <f t="shared" si="9"/>
        <v>0.88461538461538458</v>
      </c>
      <c r="BH33" s="79">
        <f t="shared" si="9"/>
        <v>0.22222222222222221</v>
      </c>
      <c r="BI33" s="45"/>
      <c r="BJ33" s="39" t="s">
        <v>13</v>
      </c>
      <c r="BK33" s="13">
        <f t="shared" si="36"/>
        <v>0.89814814814814814</v>
      </c>
      <c r="BL33" s="13">
        <f t="shared" si="36"/>
        <v>0.22594142259414229</v>
      </c>
      <c r="BM33" s="13">
        <f t="shared" si="36"/>
        <v>0</v>
      </c>
      <c r="BN33" s="13">
        <f t="shared" si="36"/>
        <v>0.2857142857142857</v>
      </c>
      <c r="BO33" s="13">
        <f t="shared" si="37"/>
        <v>0.93827160493827155</v>
      </c>
      <c r="BP33" s="13">
        <f t="shared" si="37"/>
        <v>0.48535564853556484</v>
      </c>
      <c r="BQ33" s="13">
        <f t="shared" si="37"/>
        <v>0.10344827586206896</v>
      </c>
      <c r="BR33" s="50">
        <f t="shared" si="37"/>
        <v>0.64285714285714279</v>
      </c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" t="s">
        <v>9</v>
      </c>
      <c r="CF33" s="131">
        <f t="shared" si="39"/>
        <v>0</v>
      </c>
      <c r="CG33" s="13">
        <f t="shared" si="40"/>
        <v>0.10344827586206896</v>
      </c>
      <c r="CH33" s="13">
        <f t="shared" si="41"/>
        <v>0.79310344827586199</v>
      </c>
      <c r="CI33" s="13">
        <f t="shared" si="42"/>
        <v>0.89655172413793105</v>
      </c>
      <c r="CJ33" s="13">
        <f t="shared" si="43"/>
        <v>0</v>
      </c>
      <c r="CK33" s="13">
        <f t="shared" si="44"/>
        <v>0.5</v>
      </c>
      <c r="CL33" s="13">
        <f t="shared" si="45"/>
        <v>0</v>
      </c>
      <c r="CM33" s="125">
        <f t="shared" si="46"/>
        <v>0.5</v>
      </c>
      <c r="CO33" s="4" t="s">
        <v>13</v>
      </c>
      <c r="CP33" s="13">
        <f t="shared" si="38"/>
        <v>0</v>
      </c>
      <c r="CQ33" s="13">
        <f t="shared" si="38"/>
        <v>9.3730407523510959E-2</v>
      </c>
      <c r="CR33" s="13">
        <f t="shared" si="38"/>
        <v>8.1713688610240323E-2</v>
      </c>
      <c r="CS33" s="13">
        <f t="shared" si="38"/>
        <v>0.24994775339602923</v>
      </c>
      <c r="CT33" s="13">
        <f t="shared" si="38"/>
        <v>0</v>
      </c>
      <c r="CU33" s="13">
        <f t="shared" si="38"/>
        <v>6.1607142857142846E-2</v>
      </c>
      <c r="CV33" s="13">
        <f t="shared" si="38"/>
        <v>0</v>
      </c>
      <c r="CW33" s="13">
        <f t="shared" si="38"/>
        <v>0.17113095238095238</v>
      </c>
    </row>
    <row r="34" spans="1:101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114"/>
      <c r="U34" s="115" t="s">
        <v>64</v>
      </c>
      <c r="V34" s="115" t="s">
        <v>65</v>
      </c>
      <c r="W34" s="115" t="s">
        <v>66</v>
      </c>
      <c r="X34" s="116" t="s">
        <v>67</v>
      </c>
      <c r="Y34" s="94"/>
      <c r="Z34" t="s">
        <v>134</v>
      </c>
      <c r="AD34" s="95"/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79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17</v>
      </c>
      <c r="BE34" s="43">
        <f t="shared" si="9"/>
        <v>1.2861736334405127E-2</v>
      </c>
      <c r="BF34" s="44">
        <f t="shared" si="9"/>
        <v>0.93220338983050843</v>
      </c>
      <c r="BG34" s="44">
        <f t="shared" si="9"/>
        <v>1</v>
      </c>
      <c r="BH34" s="79">
        <f t="shared" si="9"/>
        <v>0</v>
      </c>
      <c r="BI34" s="45"/>
      <c r="BJ34" s="39" t="s">
        <v>14</v>
      </c>
      <c r="BK34" s="13">
        <f t="shared" si="36"/>
        <v>0.70738636363636365</v>
      </c>
      <c r="BL34" s="13">
        <f t="shared" si="36"/>
        <v>0.23041474654377883</v>
      </c>
      <c r="BM34" s="13">
        <f t="shared" si="36"/>
        <v>0</v>
      </c>
      <c r="BN34" s="13">
        <f t="shared" si="36"/>
        <v>0.19999999999999998</v>
      </c>
      <c r="BO34" s="13">
        <f t="shared" si="37"/>
        <v>0.82386363636363635</v>
      </c>
      <c r="BP34" s="13">
        <f t="shared" si="37"/>
        <v>0.41474654377880188</v>
      </c>
      <c r="BQ34" s="13">
        <f t="shared" si="37"/>
        <v>3.7037037037037035E-2</v>
      </c>
      <c r="BR34" s="50">
        <f t="shared" si="37"/>
        <v>0.6</v>
      </c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" t="s">
        <v>10</v>
      </c>
      <c r="CF34" s="131">
        <f t="shared" si="39"/>
        <v>2.9411764705882353E-2</v>
      </c>
      <c r="CG34" s="13">
        <f t="shared" si="40"/>
        <v>0.26470588235294118</v>
      </c>
      <c r="CH34" s="13">
        <f t="shared" si="41"/>
        <v>0.5</v>
      </c>
      <c r="CI34" s="13">
        <f t="shared" si="42"/>
        <v>0.73529411764705888</v>
      </c>
      <c r="CJ34" s="13">
        <f t="shared" si="43"/>
        <v>0.23076923076923075</v>
      </c>
      <c r="CK34" s="13">
        <f t="shared" si="44"/>
        <v>0.53846153846153844</v>
      </c>
      <c r="CL34" s="13">
        <f t="shared" si="45"/>
        <v>0.15384615384615383</v>
      </c>
      <c r="CM34" s="125">
        <f t="shared" si="46"/>
        <v>0.46153846153846162</v>
      </c>
      <c r="CO34" s="4" t="s">
        <v>14</v>
      </c>
      <c r="CP34" s="13">
        <f t="shared" si="38"/>
        <v>0</v>
      </c>
      <c r="CQ34" s="13">
        <f t="shared" si="38"/>
        <v>3.3557800224466881E-2</v>
      </c>
      <c r="CR34" s="13">
        <f t="shared" si="38"/>
        <v>9.5398428731762047E-2</v>
      </c>
      <c r="CS34" s="13">
        <f t="shared" si="38"/>
        <v>0.26846240179573511</v>
      </c>
      <c r="CT34" s="13">
        <f t="shared" si="38"/>
        <v>0</v>
      </c>
      <c r="CU34" s="13">
        <f t="shared" si="38"/>
        <v>5.7499999999999996E-2</v>
      </c>
      <c r="CV34" s="13">
        <f t="shared" si="38"/>
        <v>0</v>
      </c>
      <c r="CW34" s="13">
        <f t="shared" si="38"/>
        <v>0.19166666666666665</v>
      </c>
    </row>
    <row r="35" spans="1:101" ht="15.75" thickBot="1" x14ac:dyDescent="0.3">
      <c r="A35" s="72" t="s">
        <v>108</v>
      </c>
      <c r="B35" s="73" t="s">
        <v>21</v>
      </c>
      <c r="C35" s="74">
        <v>0</v>
      </c>
      <c r="D35" s="74">
        <v>0</v>
      </c>
      <c r="E35" s="74">
        <v>0</v>
      </c>
      <c r="F35" s="75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17" t="s">
        <v>38</v>
      </c>
      <c r="U35" s="118">
        <f>U22/U$32</f>
        <v>1.4814814814814815E-2</v>
      </c>
      <c r="V35" s="118">
        <f>V22/V$32</f>
        <v>0.40229885057471265</v>
      </c>
      <c r="W35" s="118">
        <f>W22/W$32</f>
        <v>0.45454545454545453</v>
      </c>
      <c r="X35" s="118">
        <f>X22/X$32</f>
        <v>0</v>
      </c>
      <c r="Y35" s="94"/>
      <c r="AD35" s="95"/>
      <c r="AL35" s="53" t="s">
        <v>21</v>
      </c>
      <c r="AM35" s="80">
        <f t="shared" si="0"/>
        <v>1</v>
      </c>
      <c r="AN35" s="81">
        <f t="shared" si="1"/>
        <v>0</v>
      </c>
      <c r="AO35" s="81">
        <f t="shared" si="2"/>
        <v>0</v>
      </c>
      <c r="AP35" s="82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53" t="s">
        <v>21</v>
      </c>
      <c r="BE35" s="80">
        <f t="shared" si="9"/>
        <v>0</v>
      </c>
      <c r="BF35" s="81">
        <f t="shared" si="9"/>
        <v>1</v>
      </c>
      <c r="BG35" s="81">
        <f t="shared" si="9"/>
        <v>1</v>
      </c>
      <c r="BH35" s="82">
        <f t="shared" si="9"/>
        <v>0</v>
      </c>
      <c r="BI35" s="45"/>
      <c r="BJ35" s="39" t="s">
        <v>15</v>
      </c>
      <c r="BK35" s="13">
        <f t="shared" si="36"/>
        <v>0.94654088050314467</v>
      </c>
      <c r="BL35" s="13">
        <f t="shared" si="36"/>
        <v>7.6923076923076927E-2</v>
      </c>
      <c r="BM35" s="13">
        <f t="shared" si="36"/>
        <v>0</v>
      </c>
      <c r="BN35" s="13">
        <f t="shared" si="36"/>
        <v>0.63636363636363635</v>
      </c>
      <c r="BO35" s="13">
        <f t="shared" si="37"/>
        <v>0.96855345911949686</v>
      </c>
      <c r="BP35" s="13">
        <f t="shared" si="37"/>
        <v>0.32051282051282048</v>
      </c>
      <c r="BQ35" s="13">
        <f t="shared" si="37"/>
        <v>0.10344827586206896</v>
      </c>
      <c r="BR35" s="50">
        <f t="shared" si="37"/>
        <v>0.81818181818181812</v>
      </c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" t="s">
        <v>11</v>
      </c>
      <c r="CF35" s="131">
        <f t="shared" si="39"/>
        <v>0</v>
      </c>
      <c r="CG35" s="13">
        <f t="shared" si="40"/>
        <v>0</v>
      </c>
      <c r="CH35" s="13">
        <f t="shared" si="41"/>
        <v>1</v>
      </c>
      <c r="CI35" s="13">
        <f t="shared" si="42"/>
        <v>1</v>
      </c>
      <c r="CJ35" s="13">
        <f t="shared" si="43"/>
        <v>1</v>
      </c>
      <c r="CK35" s="13">
        <f t="shared" si="44"/>
        <v>1</v>
      </c>
      <c r="CL35" s="13">
        <f t="shared" si="45"/>
        <v>0</v>
      </c>
      <c r="CM35" s="125">
        <f t="shared" si="46"/>
        <v>0</v>
      </c>
      <c r="CO35" s="4" t="s">
        <v>15</v>
      </c>
      <c r="CP35" s="13">
        <f t="shared" si="38"/>
        <v>0</v>
      </c>
      <c r="CQ35" s="13">
        <f t="shared" si="38"/>
        <v>9.3730407523510959E-2</v>
      </c>
      <c r="CR35" s="13">
        <f t="shared" si="38"/>
        <v>8.1713688610240323E-2</v>
      </c>
      <c r="CS35" s="13">
        <f t="shared" si="38"/>
        <v>0.24994775339602923</v>
      </c>
      <c r="CT35" s="13">
        <f t="shared" si="38"/>
        <v>0</v>
      </c>
      <c r="CU35" s="13">
        <f t="shared" si="38"/>
        <v>7.8409090909090901E-2</v>
      </c>
      <c r="CV35" s="13">
        <f t="shared" si="38"/>
        <v>0</v>
      </c>
      <c r="CW35" s="13">
        <f t="shared" si="38"/>
        <v>8.7121212121212099E-2</v>
      </c>
    </row>
    <row r="36" spans="1:101" ht="15.75" thickBot="1" x14ac:dyDescent="0.3">
      <c r="A36" s="36" t="s">
        <v>118</v>
      </c>
      <c r="B36" s="69" t="s">
        <v>1</v>
      </c>
      <c r="C36" s="70">
        <v>144</v>
      </c>
      <c r="D36" s="70">
        <v>51</v>
      </c>
      <c r="E36" s="70">
        <v>6</v>
      </c>
      <c r="F36" s="71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114"/>
      <c r="U36" s="119">
        <f>U27/U$32</f>
        <v>6.6666666666666666E-2</v>
      </c>
      <c r="V36" s="119">
        <f>V27/V$32</f>
        <v>0.55172413793103448</v>
      </c>
      <c r="W36" s="119">
        <f>W27/W$32</f>
        <v>0.78787878787878785</v>
      </c>
      <c r="X36" s="119">
        <f>X27/X$32</f>
        <v>8.3333333333333329E-2</v>
      </c>
      <c r="Y36" s="94"/>
      <c r="Z36" s="16"/>
      <c r="AA36" s="7" t="s">
        <v>64</v>
      </c>
      <c r="AB36" s="7" t="s">
        <v>65</v>
      </c>
      <c r="AC36" s="7" t="s">
        <v>66</v>
      </c>
      <c r="AD36" s="99" t="s">
        <v>67</v>
      </c>
      <c r="AL36" s="39" t="s">
        <v>1</v>
      </c>
      <c r="AM36" s="86">
        <f t="shared" ref="AM36:AM67" si="48">(AG$4-C36)/(AG$4-AG$5)</f>
        <v>0.53697749196141475</v>
      </c>
      <c r="AN36" s="87">
        <f t="shared" ref="AN36:AN67" si="49">(D36-AH$5)/(AH$4-AH$5)</f>
        <v>0.28813559322033899</v>
      </c>
      <c r="AO36" s="87">
        <f t="shared" ref="AO36:AO67" si="50">(E36-AI$5)/(AI$4-AI$5)</f>
        <v>0.23076923076923078</v>
      </c>
      <c r="AP36" s="88">
        <f t="shared" ref="AP36:AP67" si="51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</v>
      </c>
      <c r="BE36" s="86">
        <f t="shared" si="9"/>
        <v>0.46302250803858525</v>
      </c>
      <c r="BF36" s="87">
        <f t="shared" si="9"/>
        <v>0.71186440677966101</v>
      </c>
      <c r="BG36" s="87">
        <f t="shared" si="9"/>
        <v>0.76923076923076916</v>
      </c>
      <c r="BH36" s="88">
        <f t="shared" si="9"/>
        <v>0.22222222222222221</v>
      </c>
      <c r="BI36" s="45"/>
      <c r="BJ36" s="39" t="s">
        <v>16</v>
      </c>
      <c r="BK36" s="13">
        <f t="shared" si="36"/>
        <v>0.43842364532019712</v>
      </c>
      <c r="BL36" s="13">
        <f t="shared" si="36"/>
        <v>0.14912280701754388</v>
      </c>
      <c r="BM36" s="13">
        <f t="shared" si="36"/>
        <v>2.5000000000000005E-2</v>
      </c>
      <c r="BN36" s="13">
        <f t="shared" si="36"/>
        <v>0</v>
      </c>
      <c r="BO36" s="13">
        <f t="shared" si="37"/>
        <v>0.6724137931034484</v>
      </c>
      <c r="BP36" s="13">
        <f t="shared" si="37"/>
        <v>0.3728070175438597</v>
      </c>
      <c r="BQ36" s="13">
        <f t="shared" si="37"/>
        <v>0.375</v>
      </c>
      <c r="BR36" s="50">
        <f t="shared" si="37"/>
        <v>0.43750000000000006</v>
      </c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" t="s">
        <v>12</v>
      </c>
      <c r="CF36" s="131">
        <f t="shared" si="39"/>
        <v>2.4390243902439025E-2</v>
      </c>
      <c r="CG36" s="13">
        <f t="shared" si="40"/>
        <v>0.3902439024390244</v>
      </c>
      <c r="CH36" s="13">
        <f t="shared" si="41"/>
        <v>0.24390243902439024</v>
      </c>
      <c r="CI36" s="13">
        <f t="shared" si="42"/>
        <v>0.6097560975609756</v>
      </c>
      <c r="CJ36" s="13">
        <f t="shared" si="43"/>
        <v>0.125</v>
      </c>
      <c r="CK36" s="13">
        <f t="shared" si="44"/>
        <v>0.5625</v>
      </c>
      <c r="CL36" s="13">
        <f t="shared" si="45"/>
        <v>0</v>
      </c>
      <c r="CM36" s="125">
        <f t="shared" si="46"/>
        <v>0.43750000000000006</v>
      </c>
      <c r="CO36" s="4" t="s">
        <v>16</v>
      </c>
      <c r="CP36" s="13">
        <f t="shared" si="38"/>
        <v>9.6590909090909106E-3</v>
      </c>
      <c r="CQ36" s="13">
        <f t="shared" si="38"/>
        <v>0.33977272727272723</v>
      </c>
      <c r="CR36" s="13">
        <f t="shared" si="38"/>
        <v>2.8333333333333342E-2</v>
      </c>
      <c r="CS36" s="13">
        <f t="shared" si="38"/>
        <v>0.17424242424242425</v>
      </c>
      <c r="CT36" s="13">
        <f t="shared" si="38"/>
        <v>0</v>
      </c>
      <c r="CU36" s="13">
        <f t="shared" si="38"/>
        <v>4.1927083333333337E-2</v>
      </c>
      <c r="CV36" s="13">
        <f t="shared" si="38"/>
        <v>1.7708333333333333E-2</v>
      </c>
      <c r="CW36" s="13">
        <f t="shared" si="38"/>
        <v>0.26953125</v>
      </c>
    </row>
    <row r="37" spans="1:101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114" t="s">
        <v>39</v>
      </c>
      <c r="U37" s="119">
        <f>U23/U$32</f>
        <v>7.407407407407407E-2</v>
      </c>
      <c r="V37" s="119">
        <f>V23/V$32</f>
        <v>0.22988505747126436</v>
      </c>
      <c r="W37" s="119">
        <f>W23/W$32</f>
        <v>0.12121212121212122</v>
      </c>
      <c r="X37" s="119">
        <f>X23/X$32</f>
        <v>0.16666666666666666</v>
      </c>
      <c r="Y37" s="94"/>
      <c r="Z37" s="15" t="s">
        <v>38</v>
      </c>
      <c r="AA37" s="56">
        <f>MAX(0,U35*0.85)</f>
        <v>1.2592592592592593E-2</v>
      </c>
      <c r="AB37" s="56">
        <f t="shared" ref="AB37:AD37" si="52">MAX(0,V35*0.85)</f>
        <v>0.34195402298850575</v>
      </c>
      <c r="AC37" s="56">
        <f t="shared" si="52"/>
        <v>0.38636363636363635</v>
      </c>
      <c r="AD37" s="100">
        <f t="shared" si="52"/>
        <v>0</v>
      </c>
      <c r="AL37" s="39" t="s">
        <v>2</v>
      </c>
      <c r="AM37" s="43">
        <f t="shared" si="48"/>
        <v>0.99678456591639875</v>
      </c>
      <c r="AN37" s="44">
        <f t="shared" si="49"/>
        <v>0.15254237288135594</v>
      </c>
      <c r="AO37" s="44">
        <f t="shared" si="50"/>
        <v>0.26923076923076922</v>
      </c>
      <c r="AP37" s="79">
        <f t="shared" si="51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2</v>
      </c>
      <c r="BE37" s="43">
        <f t="shared" si="9"/>
        <v>3.215434083601254E-3</v>
      </c>
      <c r="BF37" s="44">
        <f t="shared" si="9"/>
        <v>0.84745762711864403</v>
      </c>
      <c r="BG37" s="44">
        <f t="shared" si="9"/>
        <v>0.73076923076923084</v>
      </c>
      <c r="BH37" s="79">
        <f t="shared" si="9"/>
        <v>0</v>
      </c>
      <c r="BI37" s="45"/>
      <c r="BJ37" s="39" t="s">
        <v>17</v>
      </c>
      <c r="BK37" s="13">
        <f t="shared" si="36"/>
        <v>0.85585585585585566</v>
      </c>
      <c r="BL37" s="13">
        <f t="shared" si="36"/>
        <v>4.0723981900452497E-2</v>
      </c>
      <c r="BM37" s="13">
        <f t="shared" si="36"/>
        <v>0</v>
      </c>
      <c r="BN37" s="13">
        <f t="shared" si="36"/>
        <v>0.63636363636363635</v>
      </c>
      <c r="BO37" s="13">
        <f t="shared" si="37"/>
        <v>0.92192192192192179</v>
      </c>
      <c r="BP37" s="13">
        <f t="shared" si="37"/>
        <v>0.23981900452488691</v>
      </c>
      <c r="BQ37" s="13">
        <f t="shared" si="37"/>
        <v>3.7037037037037035E-2</v>
      </c>
      <c r="BR37" s="50">
        <f t="shared" si="37"/>
        <v>0.81818181818181812</v>
      </c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" t="s">
        <v>13</v>
      </c>
      <c r="CF37" s="131">
        <f t="shared" si="39"/>
        <v>0</v>
      </c>
      <c r="CG37" s="13">
        <f t="shared" si="40"/>
        <v>0.10344827586206896</v>
      </c>
      <c r="CH37" s="13">
        <f t="shared" si="41"/>
        <v>0.79310344827586199</v>
      </c>
      <c r="CI37" s="13">
        <f t="shared" si="42"/>
        <v>0.89655172413793105</v>
      </c>
      <c r="CJ37" s="13">
        <f t="shared" si="43"/>
        <v>0.2857142857142857</v>
      </c>
      <c r="CK37" s="13">
        <f t="shared" si="44"/>
        <v>0.64285714285714279</v>
      </c>
      <c r="CL37" s="13">
        <f t="shared" si="45"/>
        <v>0</v>
      </c>
      <c r="CM37" s="125">
        <f t="shared" si="46"/>
        <v>0.35714285714285715</v>
      </c>
      <c r="CO37" s="4" t="s">
        <v>17</v>
      </c>
      <c r="CP37" s="13">
        <f t="shared" si="38"/>
        <v>0</v>
      </c>
      <c r="CQ37" s="13">
        <f t="shared" si="38"/>
        <v>3.3557800224466881E-2</v>
      </c>
      <c r="CR37" s="13">
        <f t="shared" si="38"/>
        <v>9.5398428731762047E-2</v>
      </c>
      <c r="CS37" s="13">
        <f t="shared" si="38"/>
        <v>0.26846240179573511</v>
      </c>
      <c r="CT37" s="13">
        <f t="shared" si="38"/>
        <v>0</v>
      </c>
      <c r="CU37" s="13">
        <f t="shared" si="38"/>
        <v>7.8409090909090901E-2</v>
      </c>
      <c r="CV37" s="13">
        <f t="shared" si="38"/>
        <v>0</v>
      </c>
      <c r="CW37" s="13">
        <f t="shared" si="38"/>
        <v>8.7121212121212099E-2</v>
      </c>
    </row>
    <row r="38" spans="1:101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114"/>
      <c r="U38" s="119">
        <f>U28/U$32</f>
        <v>0.2074074074074074</v>
      </c>
      <c r="V38" s="119">
        <f>V28/V$32</f>
        <v>0.37931034482758619</v>
      </c>
      <c r="W38" s="119">
        <f>W28/W$32</f>
        <v>0.24242424242424243</v>
      </c>
      <c r="X38" s="119">
        <f>X28/X$32</f>
        <v>0.41666666666666669</v>
      </c>
      <c r="Y38" s="94"/>
      <c r="Z38" s="16"/>
      <c r="AA38" s="37">
        <f>MIN(1,U36*1.15)</f>
        <v>7.6666666666666661E-2</v>
      </c>
      <c r="AB38" s="37">
        <f t="shared" ref="AB38:AD38" si="53">MIN(1,V36*1.15)</f>
        <v>0.63448275862068959</v>
      </c>
      <c r="AC38" s="37">
        <f t="shared" si="53"/>
        <v>0.9060606060606059</v>
      </c>
      <c r="AD38" s="101">
        <f t="shared" si="53"/>
        <v>9.5833333333333326E-2</v>
      </c>
      <c r="AL38" s="39" t="s">
        <v>4</v>
      </c>
      <c r="AM38" s="43">
        <f t="shared" si="48"/>
        <v>0.89067524115755625</v>
      </c>
      <c r="AN38" s="44">
        <f t="shared" si="49"/>
        <v>4.519774011299435E-2</v>
      </c>
      <c r="AO38" s="44">
        <f t="shared" si="50"/>
        <v>0</v>
      </c>
      <c r="AP38" s="79">
        <f t="shared" si="51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4</v>
      </c>
      <c r="BE38" s="43">
        <f t="shared" si="9"/>
        <v>0.10932475884244375</v>
      </c>
      <c r="BF38" s="44">
        <f t="shared" si="9"/>
        <v>0.95480225988700562</v>
      </c>
      <c r="BG38" s="44">
        <f t="shared" si="9"/>
        <v>1</v>
      </c>
      <c r="BH38" s="79">
        <f t="shared" si="9"/>
        <v>0</v>
      </c>
      <c r="BI38" s="45"/>
      <c r="BJ38" s="39" t="s">
        <v>21</v>
      </c>
      <c r="BK38" s="13">
        <f t="shared" si="36"/>
        <v>0.97460317460317469</v>
      </c>
      <c r="BL38" s="13">
        <f t="shared" si="36"/>
        <v>0</v>
      </c>
      <c r="BM38" s="13">
        <f t="shared" si="36"/>
        <v>0</v>
      </c>
      <c r="BN38" s="13">
        <f t="shared" si="36"/>
        <v>0.79999999999999993</v>
      </c>
      <c r="BO38" s="13">
        <f t="shared" si="37"/>
        <v>0.98730158730158746</v>
      </c>
      <c r="BP38" s="13">
        <f t="shared" si="37"/>
        <v>0.35164835164835168</v>
      </c>
      <c r="BQ38" s="13">
        <f t="shared" si="37"/>
        <v>0.23529411764705882</v>
      </c>
      <c r="BR38" s="50">
        <f t="shared" si="37"/>
        <v>0.89999999999999991</v>
      </c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" t="s">
        <v>14</v>
      </c>
      <c r="CF38" s="131">
        <f t="shared" si="39"/>
        <v>0</v>
      </c>
      <c r="CG38" s="13">
        <f t="shared" si="40"/>
        <v>3.7037037037037035E-2</v>
      </c>
      <c r="CH38" s="13">
        <f t="shared" si="41"/>
        <v>0.92592592592592582</v>
      </c>
      <c r="CI38" s="13">
        <f t="shared" si="42"/>
        <v>0.96296296296296291</v>
      </c>
      <c r="CJ38" s="13">
        <f t="shared" si="43"/>
        <v>0.19999999999999998</v>
      </c>
      <c r="CK38" s="13">
        <f t="shared" si="44"/>
        <v>0.6</v>
      </c>
      <c r="CL38" s="13">
        <f t="shared" si="45"/>
        <v>0</v>
      </c>
      <c r="CM38" s="125">
        <f t="shared" si="46"/>
        <v>0.4</v>
      </c>
      <c r="CO38" s="4" t="s">
        <v>21</v>
      </c>
      <c r="CP38" s="13">
        <f t="shared" si="38"/>
        <v>0</v>
      </c>
      <c r="CQ38" s="13">
        <f t="shared" si="38"/>
        <v>0.21319073083778961</v>
      </c>
      <c r="CR38" s="13">
        <f t="shared" si="38"/>
        <v>5.4545454545454543E-2</v>
      </c>
      <c r="CS38" s="13">
        <f t="shared" si="38"/>
        <v>0.21319073083778961</v>
      </c>
      <c r="CT38" s="13">
        <f t="shared" si="38"/>
        <v>0</v>
      </c>
      <c r="CU38" s="13">
        <f t="shared" si="38"/>
        <v>8.6249999999999979E-2</v>
      </c>
      <c r="CV38" s="13">
        <f t="shared" si="38"/>
        <v>0</v>
      </c>
      <c r="CW38" s="13">
        <f t="shared" si="38"/>
        <v>4.7916666666666677E-2</v>
      </c>
    </row>
    <row r="39" spans="1:101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91" t="s">
        <v>121</v>
      </c>
      <c r="U39" s="92"/>
      <c r="V39" s="92"/>
      <c r="W39" s="92"/>
      <c r="X39" s="93"/>
      <c r="Y39" s="94"/>
      <c r="Z39" s="16" t="s">
        <v>39</v>
      </c>
      <c r="AA39" s="37">
        <f>MAX(0,U37*0.85)</f>
        <v>6.2962962962962957E-2</v>
      </c>
      <c r="AB39" s="37">
        <f t="shared" ref="AB39:AD39" si="54">MAX(0,V37*0.85)</f>
        <v>0.1954022988505747</v>
      </c>
      <c r="AC39" s="37">
        <f t="shared" si="54"/>
        <v>0.10303030303030303</v>
      </c>
      <c r="AD39" s="101">
        <f t="shared" si="54"/>
        <v>0.14166666666666666</v>
      </c>
      <c r="AL39" s="39" t="s">
        <v>5</v>
      </c>
      <c r="AM39" s="43">
        <f t="shared" si="48"/>
        <v>0.91318327974276525</v>
      </c>
      <c r="AN39" s="44">
        <f t="shared" si="49"/>
        <v>0.19209039548022599</v>
      </c>
      <c r="AO39" s="44">
        <f t="shared" si="50"/>
        <v>7.6923076923076927E-2</v>
      </c>
      <c r="AP39" s="79">
        <f t="shared" si="51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39" t="s">
        <v>5</v>
      </c>
      <c r="BE39" s="43">
        <f t="shared" si="9"/>
        <v>8.6816720257234747E-2</v>
      </c>
      <c r="BF39" s="44">
        <f t="shared" si="9"/>
        <v>0.80790960451977401</v>
      </c>
      <c r="BG39" s="44">
        <f t="shared" si="9"/>
        <v>0.92307692307692313</v>
      </c>
      <c r="BH39" s="79">
        <f t="shared" si="9"/>
        <v>0.11111111111111116</v>
      </c>
      <c r="BI39" s="45"/>
      <c r="BJ39" s="136" t="s">
        <v>41</v>
      </c>
      <c r="BK39" s="138" t="s">
        <v>111</v>
      </c>
      <c r="BL39" s="138"/>
      <c r="BM39" s="138"/>
      <c r="BN39" s="138"/>
      <c r="BO39" s="138" t="s">
        <v>112</v>
      </c>
      <c r="BP39" s="138"/>
      <c r="BQ39" s="138"/>
      <c r="BR39" s="139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" t="s">
        <v>15</v>
      </c>
      <c r="CF39" s="131">
        <f t="shared" si="39"/>
        <v>0</v>
      </c>
      <c r="CG39" s="13">
        <f t="shared" si="40"/>
        <v>0.10344827586206896</v>
      </c>
      <c r="CH39" s="13">
        <f t="shared" si="41"/>
        <v>0.79310344827586199</v>
      </c>
      <c r="CI39" s="13">
        <f t="shared" si="42"/>
        <v>0.89655172413793105</v>
      </c>
      <c r="CJ39" s="13">
        <f t="shared" si="43"/>
        <v>0.63636363636363635</v>
      </c>
      <c r="CK39" s="13">
        <f t="shared" si="44"/>
        <v>0.81818181818181812</v>
      </c>
      <c r="CL39" s="13">
        <f t="shared" si="45"/>
        <v>0</v>
      </c>
      <c r="CM39" s="125">
        <f t="shared" si="46"/>
        <v>0.1818181818181818</v>
      </c>
    </row>
    <row r="40" spans="1:101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94"/>
      <c r="U40" s="13">
        <f>1+(AA37+AA38)/2-(AA39+AA40)/2</f>
        <v>0.89388888888888884</v>
      </c>
      <c r="V40" s="13">
        <f t="shared" ref="V40:X40" si="55">1+(AB37+AB38)/2-(AB39+AB40)/2</f>
        <v>1.1724137931034482</v>
      </c>
      <c r="W40" s="13">
        <f t="shared" si="55"/>
        <v>1.4553030303030301</v>
      </c>
      <c r="X40" s="125">
        <f t="shared" si="55"/>
        <v>0.73749999999999993</v>
      </c>
      <c r="Y40" s="94"/>
      <c r="Z40" s="17"/>
      <c r="AA40" s="57">
        <f>MIN(1,U38*1.15)</f>
        <v>0.23851851851851849</v>
      </c>
      <c r="AB40" s="57">
        <f t="shared" ref="AB40:AD40" si="56">MIN(1,V38*1.15)</f>
        <v>0.43620689655172407</v>
      </c>
      <c r="AC40" s="57">
        <f t="shared" si="56"/>
        <v>0.27878787878787875</v>
      </c>
      <c r="AD40" s="102">
        <f t="shared" si="56"/>
        <v>0.47916666666666663</v>
      </c>
      <c r="AL40" s="39" t="s">
        <v>6</v>
      </c>
      <c r="AM40" s="43">
        <f t="shared" si="48"/>
        <v>0.85209003215434087</v>
      </c>
      <c r="AN40" s="44">
        <f t="shared" si="49"/>
        <v>0.62146892655367236</v>
      </c>
      <c r="AO40" s="44">
        <f t="shared" si="50"/>
        <v>0</v>
      </c>
      <c r="AP40" s="79">
        <f t="shared" si="51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39" t="s">
        <v>6</v>
      </c>
      <c r="BE40" s="43">
        <f t="shared" si="9"/>
        <v>0.14790996784565913</v>
      </c>
      <c r="BF40" s="44">
        <f t="shared" si="9"/>
        <v>0.37853107344632764</v>
      </c>
      <c r="BG40" s="44">
        <f t="shared" si="9"/>
        <v>1</v>
      </c>
      <c r="BH40" s="79">
        <f t="shared" si="9"/>
        <v>0.22222222222222221</v>
      </c>
      <c r="BI40" s="45"/>
      <c r="BJ40" s="137"/>
      <c r="BK40" s="47" t="s">
        <v>64</v>
      </c>
      <c r="BL40" s="47" t="s">
        <v>65</v>
      </c>
      <c r="BM40" s="47" t="s">
        <v>66</v>
      </c>
      <c r="BN40" s="47" t="s">
        <v>67</v>
      </c>
      <c r="BO40" s="47" t="s">
        <v>64</v>
      </c>
      <c r="BP40" s="47" t="s">
        <v>65</v>
      </c>
      <c r="BQ40" s="47" t="s">
        <v>66</v>
      </c>
      <c r="BR40" s="48" t="s">
        <v>67</v>
      </c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" t="s">
        <v>16</v>
      </c>
      <c r="CF40" s="131">
        <f t="shared" si="39"/>
        <v>2.5000000000000005E-2</v>
      </c>
      <c r="CG40" s="13">
        <f t="shared" si="40"/>
        <v>0.375</v>
      </c>
      <c r="CH40" s="13">
        <f t="shared" si="41"/>
        <v>0.27500000000000008</v>
      </c>
      <c r="CI40" s="13">
        <f t="shared" si="42"/>
        <v>0.62500000000000011</v>
      </c>
      <c r="CJ40" s="13">
        <f t="shared" si="43"/>
        <v>0</v>
      </c>
      <c r="CK40" s="13">
        <f t="shared" si="44"/>
        <v>0.43750000000000006</v>
      </c>
      <c r="CL40" s="13">
        <f t="shared" si="45"/>
        <v>0.125</v>
      </c>
      <c r="CM40" s="125">
        <f t="shared" si="46"/>
        <v>0.5625</v>
      </c>
    </row>
    <row r="41" spans="1:101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124">
        <f>SUM(U40:X40)/2</f>
        <v>2.1295528561476837</v>
      </c>
      <c r="U41" s="97"/>
      <c r="V41" s="97"/>
      <c r="W41" s="97"/>
      <c r="X41" s="98"/>
      <c r="Y41" s="96"/>
      <c r="Z41" s="97"/>
      <c r="AA41" s="97"/>
      <c r="AB41" s="97"/>
      <c r="AC41" s="97"/>
      <c r="AD41" s="98"/>
      <c r="AL41" s="39" t="s">
        <v>8</v>
      </c>
      <c r="AM41" s="43">
        <f t="shared" si="48"/>
        <v>0.887459807073955</v>
      </c>
      <c r="AN41" s="44">
        <f t="shared" si="49"/>
        <v>0.2655367231638418</v>
      </c>
      <c r="AO41" s="44">
        <f t="shared" si="50"/>
        <v>3.8461538461538464E-2</v>
      </c>
      <c r="AP41" s="79">
        <f t="shared" si="51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8</v>
      </c>
      <c r="BE41" s="43">
        <f t="shared" si="9"/>
        <v>0.112540192926045</v>
      </c>
      <c r="BF41" s="44">
        <f t="shared" si="9"/>
        <v>0.7344632768361582</v>
      </c>
      <c r="BG41" s="44">
        <f t="shared" si="9"/>
        <v>0.96153846153846156</v>
      </c>
      <c r="BH41" s="79">
        <f t="shared" si="9"/>
        <v>0.11111111111111116</v>
      </c>
      <c r="BI41" s="45"/>
      <c r="BJ41" s="39" t="s">
        <v>1</v>
      </c>
      <c r="BK41" s="13">
        <f t="shared" ref="BK41:BN56" si="57">(1-BO5)/(BO5+1-BK5)</f>
        <v>8.8691796008869041E-3</v>
      </c>
      <c r="BL41" s="13">
        <f t="shared" si="57"/>
        <v>0.27777777777777785</v>
      </c>
      <c r="BM41" s="13">
        <f t="shared" si="57"/>
        <v>0.64516129032258063</v>
      </c>
      <c r="BN41" s="13">
        <f t="shared" si="57"/>
        <v>0</v>
      </c>
      <c r="BO41" s="13">
        <f t="shared" ref="BO41:BR56" si="58">(1-BK5)/(BO5+1-BK5)</f>
        <v>0.31929046563192903</v>
      </c>
      <c r="BP41" s="13">
        <f t="shared" si="58"/>
        <v>0.57539682539682546</v>
      </c>
      <c r="BQ41" s="13">
        <f t="shared" si="58"/>
        <v>0.80645161290322587</v>
      </c>
      <c r="BR41" s="50">
        <f t="shared" si="58"/>
        <v>0.25</v>
      </c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" t="s">
        <v>17</v>
      </c>
      <c r="CF41" s="131">
        <f t="shared" si="39"/>
        <v>0</v>
      </c>
      <c r="CG41" s="13">
        <f t="shared" si="40"/>
        <v>3.7037037037037035E-2</v>
      </c>
      <c r="CH41" s="13">
        <f t="shared" si="41"/>
        <v>0.92592592592592582</v>
      </c>
      <c r="CI41" s="13">
        <f t="shared" si="42"/>
        <v>0.96296296296296291</v>
      </c>
      <c r="CJ41" s="13">
        <f t="shared" si="43"/>
        <v>0.63636363636363635</v>
      </c>
      <c r="CK41" s="13">
        <f t="shared" si="44"/>
        <v>0.81818181818181812</v>
      </c>
      <c r="CL41" s="13">
        <f t="shared" si="45"/>
        <v>0</v>
      </c>
      <c r="CM41" s="125">
        <f t="shared" si="46"/>
        <v>0.1818181818181818</v>
      </c>
    </row>
    <row r="42" spans="1:101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48"/>
        <v>0.91639871382636651</v>
      </c>
      <c r="AN42" s="44">
        <f t="shared" si="49"/>
        <v>0.14124293785310735</v>
      </c>
      <c r="AO42" s="44">
        <f t="shared" si="50"/>
        <v>0.11538461538461539</v>
      </c>
      <c r="AP42" s="79">
        <f t="shared" si="51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9</v>
      </c>
      <c r="BE42" s="43">
        <f t="shared" si="9"/>
        <v>8.3601286173633493E-2</v>
      </c>
      <c r="BF42" s="44">
        <f t="shared" si="9"/>
        <v>0.85875706214689262</v>
      </c>
      <c r="BG42" s="44">
        <f t="shared" si="9"/>
        <v>0.88461538461538458</v>
      </c>
      <c r="BH42" s="79">
        <f t="shared" si="9"/>
        <v>0.11111111111111116</v>
      </c>
      <c r="BI42" s="45"/>
      <c r="BJ42" s="39" t="s">
        <v>2</v>
      </c>
      <c r="BK42" s="13">
        <f t="shared" si="57"/>
        <v>0</v>
      </c>
      <c r="BL42" s="13">
        <f t="shared" si="57"/>
        <v>0.1103678929765886</v>
      </c>
      <c r="BM42" s="13">
        <f t="shared" si="57"/>
        <v>0</v>
      </c>
      <c r="BN42" s="13">
        <f t="shared" si="57"/>
        <v>0</v>
      </c>
      <c r="BO42" s="13">
        <f t="shared" si="58"/>
        <v>6.3897763578275226E-3</v>
      </c>
      <c r="BP42" s="13">
        <f t="shared" si="58"/>
        <v>0.51839464882943143</v>
      </c>
      <c r="BQ42" s="13">
        <f t="shared" si="58"/>
        <v>0.48000000000000004</v>
      </c>
      <c r="BR42" s="50">
        <f t="shared" si="58"/>
        <v>0.10000000000000003</v>
      </c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" t="s">
        <v>21</v>
      </c>
      <c r="CF42" s="132">
        <f>BM38</f>
        <v>0</v>
      </c>
      <c r="CG42" s="126">
        <f>BQ38</f>
        <v>0.23529411764705882</v>
      </c>
      <c r="CH42" s="126">
        <f>BM56</f>
        <v>0.52941176470588236</v>
      </c>
      <c r="CI42" s="126">
        <f t="shared" si="42"/>
        <v>0.76470588235294112</v>
      </c>
      <c r="CJ42" s="126">
        <f>BN38</f>
        <v>0.79999999999999993</v>
      </c>
      <c r="CK42" s="126">
        <f t="shared" si="44"/>
        <v>0.89999999999999991</v>
      </c>
      <c r="CL42" s="126">
        <f>BN56</f>
        <v>0</v>
      </c>
      <c r="CM42" s="127">
        <f>BR56</f>
        <v>0.10000000000000003</v>
      </c>
    </row>
    <row r="43" spans="1:101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89">
        <v>6</v>
      </c>
      <c r="AL43" s="39" t="s">
        <v>10</v>
      </c>
      <c r="AM43" s="43">
        <f t="shared" si="48"/>
        <v>0.65594855305466238</v>
      </c>
      <c r="AN43" s="44">
        <f t="shared" si="49"/>
        <v>0.25988700564971751</v>
      </c>
      <c r="AO43" s="44">
        <f t="shared" si="50"/>
        <v>3.8461538461538464E-2</v>
      </c>
      <c r="AP43" s="79">
        <f t="shared" si="51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10</v>
      </c>
      <c r="BE43" s="43">
        <f t="shared" si="9"/>
        <v>0.34405144694533762</v>
      </c>
      <c r="BF43" s="44">
        <f t="shared" si="9"/>
        <v>0.74011299435028244</v>
      </c>
      <c r="BG43" s="44">
        <f t="shared" si="9"/>
        <v>0.96153846153846156</v>
      </c>
      <c r="BH43" s="79">
        <f t="shared" si="9"/>
        <v>0.33333333333333337</v>
      </c>
      <c r="BI43" s="45"/>
      <c r="BJ43" s="39" t="s">
        <v>4</v>
      </c>
      <c r="BK43" s="13">
        <f t="shared" si="57"/>
        <v>4.010695187165772E-2</v>
      </c>
      <c r="BL43" s="13">
        <f t="shared" si="57"/>
        <v>0.80208333333333326</v>
      </c>
      <c r="BM43" s="13">
        <f t="shared" si="57"/>
        <v>0.85714285714285721</v>
      </c>
      <c r="BN43" s="13">
        <f t="shared" si="57"/>
        <v>0</v>
      </c>
      <c r="BO43" s="13">
        <f t="shared" si="58"/>
        <v>0.20855614973262038</v>
      </c>
      <c r="BP43" s="13">
        <f t="shared" si="58"/>
        <v>0.88020833333333326</v>
      </c>
      <c r="BQ43" s="13">
        <f t="shared" si="58"/>
        <v>0.9285714285714286</v>
      </c>
      <c r="BR43" s="50">
        <f t="shared" si="58"/>
        <v>0.1818181818181818</v>
      </c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</row>
    <row r="44" spans="1:101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89">
        <v>0</v>
      </c>
      <c r="AL44" s="39" t="s">
        <v>11</v>
      </c>
      <c r="AM44" s="43">
        <f t="shared" si="48"/>
        <v>0.99035369774919613</v>
      </c>
      <c r="AN44" s="44">
        <f t="shared" si="49"/>
        <v>0.48587570621468928</v>
      </c>
      <c r="AO44" s="44">
        <f t="shared" si="50"/>
        <v>0</v>
      </c>
      <c r="AP44" s="79">
        <f t="shared" si="51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11</v>
      </c>
      <c r="BE44" s="43">
        <f t="shared" si="9"/>
        <v>9.6463022508038732E-3</v>
      </c>
      <c r="BF44" s="44">
        <f t="shared" si="9"/>
        <v>0.51412429378531077</v>
      </c>
      <c r="BG44" s="44">
        <f t="shared" si="9"/>
        <v>1</v>
      </c>
      <c r="BH44" s="79">
        <f t="shared" si="9"/>
        <v>0</v>
      </c>
      <c r="BI44" s="45"/>
      <c r="BJ44" s="39" t="s">
        <v>5</v>
      </c>
      <c r="BK44" s="13">
        <f t="shared" si="57"/>
        <v>1.4705882352941131E-2</v>
      </c>
      <c r="BL44" s="13">
        <f t="shared" si="57"/>
        <v>0.375</v>
      </c>
      <c r="BM44" s="13">
        <f t="shared" si="57"/>
        <v>0.85714285714285721</v>
      </c>
      <c r="BN44" s="13">
        <f t="shared" si="57"/>
        <v>0</v>
      </c>
      <c r="BO44" s="13">
        <f t="shared" si="58"/>
        <v>0.10000000000000002</v>
      </c>
      <c r="BP44" s="13">
        <f t="shared" si="58"/>
        <v>0.63750000000000007</v>
      </c>
      <c r="BQ44" s="13">
        <f t="shared" si="58"/>
        <v>0.9285714285714286</v>
      </c>
      <c r="BR44" s="50">
        <f t="shared" si="58"/>
        <v>0.1818181818181818</v>
      </c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</row>
    <row r="45" spans="1:101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89">
        <v>1</v>
      </c>
      <c r="AL45" s="39" t="s">
        <v>12</v>
      </c>
      <c r="AM45" s="43">
        <f t="shared" si="48"/>
        <v>0.92604501607717038</v>
      </c>
      <c r="AN45" s="44">
        <f t="shared" si="49"/>
        <v>0.20903954802259886</v>
      </c>
      <c r="AO45" s="44">
        <f t="shared" si="50"/>
        <v>0.15384615384615385</v>
      </c>
      <c r="AP45" s="79">
        <f t="shared" si="51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12</v>
      </c>
      <c r="BE45" s="43">
        <f t="shared" si="9"/>
        <v>7.395498392282962E-2</v>
      </c>
      <c r="BF45" s="44">
        <f t="shared" si="9"/>
        <v>0.79096045197740117</v>
      </c>
      <c r="BG45" s="44">
        <f t="shared" si="9"/>
        <v>0.84615384615384615</v>
      </c>
      <c r="BH45" s="79">
        <f t="shared" si="9"/>
        <v>0.11111111111111116</v>
      </c>
      <c r="BI45" s="45"/>
      <c r="BJ45" s="39" t="s">
        <v>6</v>
      </c>
      <c r="BK45" s="13">
        <f t="shared" si="57"/>
        <v>5.7471264367816119E-2</v>
      </c>
      <c r="BL45" s="13">
        <f t="shared" si="57"/>
        <v>0.23605150214592274</v>
      </c>
      <c r="BM45" s="13">
        <f t="shared" si="57"/>
        <v>0.79310344827586199</v>
      </c>
      <c r="BN45" s="13">
        <f t="shared" si="57"/>
        <v>0</v>
      </c>
      <c r="BO45" s="13">
        <f t="shared" si="58"/>
        <v>0.16379310344827583</v>
      </c>
      <c r="BP45" s="13">
        <f t="shared" si="58"/>
        <v>0.47639484978540764</v>
      </c>
      <c r="BQ45" s="13">
        <f t="shared" si="58"/>
        <v>0.89655172413793105</v>
      </c>
      <c r="BR45" s="50">
        <f t="shared" si="58"/>
        <v>0.1818181818181818</v>
      </c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</row>
    <row r="46" spans="1:101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89">
        <v>5</v>
      </c>
      <c r="AL46" s="39" t="s">
        <v>13</v>
      </c>
      <c r="AM46" s="43">
        <f t="shared" si="48"/>
        <v>0.96463022508038587</v>
      </c>
      <c r="AN46" s="44">
        <f t="shared" si="49"/>
        <v>0.37853107344632769</v>
      </c>
      <c r="AO46" s="44">
        <f t="shared" si="50"/>
        <v>0</v>
      </c>
      <c r="AP46" s="79">
        <f t="shared" si="51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13</v>
      </c>
      <c r="BE46" s="43">
        <f t="shared" si="9"/>
        <v>3.5369774919614128E-2</v>
      </c>
      <c r="BF46" s="44">
        <f t="shared" si="9"/>
        <v>0.62146892655367236</v>
      </c>
      <c r="BG46" s="44">
        <f t="shared" si="9"/>
        <v>1</v>
      </c>
      <c r="BH46" s="79">
        <f t="shared" si="9"/>
        <v>0.11111111111111116</v>
      </c>
      <c r="BI46" s="45"/>
      <c r="BJ46" s="39" t="s">
        <v>8</v>
      </c>
      <c r="BK46" s="13">
        <f t="shared" si="57"/>
        <v>2.9498525073746323E-2</v>
      </c>
      <c r="BL46" s="13">
        <f t="shared" si="57"/>
        <v>0.55825242718446599</v>
      </c>
      <c r="BM46" s="13">
        <f t="shared" si="57"/>
        <v>0.85714285714285721</v>
      </c>
      <c r="BN46" s="13">
        <f t="shared" si="57"/>
        <v>0</v>
      </c>
      <c r="BO46" s="13">
        <f t="shared" si="58"/>
        <v>0.11209439528023599</v>
      </c>
      <c r="BP46" s="13">
        <f t="shared" si="58"/>
        <v>0.69902912621359214</v>
      </c>
      <c r="BQ46" s="13">
        <f t="shared" si="58"/>
        <v>0.9285714285714286</v>
      </c>
      <c r="BR46" s="50">
        <f t="shared" si="58"/>
        <v>0.25</v>
      </c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</row>
    <row r="47" spans="1:101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89">
        <v>6</v>
      </c>
      <c r="AL47" s="39" t="s">
        <v>14</v>
      </c>
      <c r="AM47" s="43">
        <f t="shared" si="48"/>
        <v>0.89389067524115751</v>
      </c>
      <c r="AN47" s="44">
        <f t="shared" si="49"/>
        <v>0.41807909604519772</v>
      </c>
      <c r="AO47" s="44">
        <f t="shared" si="50"/>
        <v>3.8461538461538464E-2</v>
      </c>
      <c r="AP47" s="79">
        <f t="shared" si="51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14</v>
      </c>
      <c r="BE47" s="43">
        <f t="shared" si="9"/>
        <v>0.10610932475884249</v>
      </c>
      <c r="BF47" s="44">
        <f t="shared" si="9"/>
        <v>0.58192090395480234</v>
      </c>
      <c r="BG47" s="44">
        <f t="shared" si="9"/>
        <v>0.96153846153846156</v>
      </c>
      <c r="BH47" s="79">
        <f t="shared" si="9"/>
        <v>0.11111111111111116</v>
      </c>
      <c r="BI47" s="45"/>
      <c r="BJ47" s="39" t="s">
        <v>9</v>
      </c>
      <c r="BK47" s="13">
        <f t="shared" si="57"/>
        <v>4.9140049140049158E-2</v>
      </c>
      <c r="BL47" s="13">
        <f t="shared" si="57"/>
        <v>0</v>
      </c>
      <c r="BM47" s="13">
        <f t="shared" si="57"/>
        <v>0.79310344827586199</v>
      </c>
      <c r="BN47" s="13">
        <f t="shared" si="57"/>
        <v>0</v>
      </c>
      <c r="BO47" s="13">
        <f t="shared" si="58"/>
        <v>0.28501228501228504</v>
      </c>
      <c r="BP47" s="13">
        <f t="shared" si="58"/>
        <v>0.46200607902735558</v>
      </c>
      <c r="BQ47" s="13">
        <f t="shared" si="58"/>
        <v>0.89655172413793105</v>
      </c>
      <c r="BR47" s="50">
        <f t="shared" si="58"/>
        <v>0.5</v>
      </c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</row>
    <row r="48" spans="1:101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89">
        <v>1</v>
      </c>
      <c r="AL48" s="39" t="s">
        <v>15</v>
      </c>
      <c r="AM48" s="43">
        <f t="shared" si="48"/>
        <v>0.96784565916398713</v>
      </c>
      <c r="AN48" s="44">
        <f t="shared" si="49"/>
        <v>0.2711864406779661</v>
      </c>
      <c r="AO48" s="44">
        <f t="shared" si="50"/>
        <v>0.11538461538461539</v>
      </c>
      <c r="AP48" s="79">
        <f t="shared" si="51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15</v>
      </c>
      <c r="BE48" s="43">
        <f t="shared" si="9"/>
        <v>3.2154340836012874E-2</v>
      </c>
      <c r="BF48" s="44">
        <f t="shared" si="9"/>
        <v>0.72881355932203395</v>
      </c>
      <c r="BG48" s="44">
        <f t="shared" si="9"/>
        <v>0.88461538461538458</v>
      </c>
      <c r="BH48" s="79">
        <f t="shared" si="9"/>
        <v>0.11111111111111116</v>
      </c>
      <c r="BI48" s="45"/>
      <c r="BJ48" s="39" t="s">
        <v>10</v>
      </c>
      <c r="BK48" s="13">
        <f t="shared" si="57"/>
        <v>9.1346153846153855E-2</v>
      </c>
      <c r="BL48" s="13">
        <f t="shared" si="57"/>
        <v>0.59605911330049266</v>
      </c>
      <c r="BM48" s="13">
        <f t="shared" si="57"/>
        <v>0.5</v>
      </c>
      <c r="BN48" s="13">
        <f t="shared" si="57"/>
        <v>0.15384615384615383</v>
      </c>
      <c r="BO48" s="13">
        <f t="shared" si="58"/>
        <v>0.34375</v>
      </c>
      <c r="BP48" s="13">
        <f t="shared" si="58"/>
        <v>0.72413793103448276</v>
      </c>
      <c r="BQ48" s="13">
        <f t="shared" si="58"/>
        <v>0.73529411764705888</v>
      </c>
      <c r="BR48" s="50">
        <f t="shared" si="58"/>
        <v>0.46153846153846162</v>
      </c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</row>
    <row r="49" spans="1:82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89">
        <v>9</v>
      </c>
      <c r="AL49" s="39" t="s">
        <v>16</v>
      </c>
      <c r="AM49" s="43">
        <f t="shared" si="48"/>
        <v>0.57234726688102899</v>
      </c>
      <c r="AN49" s="44">
        <f t="shared" si="49"/>
        <v>0.32203389830508472</v>
      </c>
      <c r="AO49" s="44">
        <f t="shared" si="50"/>
        <v>0.53846153846153844</v>
      </c>
      <c r="AP49" s="79">
        <f t="shared" si="51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16</v>
      </c>
      <c r="BE49" s="43">
        <f t="shared" si="9"/>
        <v>0.42765273311897101</v>
      </c>
      <c r="BF49" s="44">
        <f t="shared" si="9"/>
        <v>0.67796610169491522</v>
      </c>
      <c r="BG49" s="44">
        <f t="shared" si="9"/>
        <v>0.46153846153846156</v>
      </c>
      <c r="BH49" s="79">
        <f t="shared" si="9"/>
        <v>0.33333333333333337</v>
      </c>
      <c r="BI49" s="45"/>
      <c r="BJ49" s="39" t="s">
        <v>11</v>
      </c>
      <c r="BK49" s="13">
        <f t="shared" si="57"/>
        <v>0</v>
      </c>
      <c r="BL49" s="13">
        <f t="shared" si="57"/>
        <v>0.29147982062780264</v>
      </c>
      <c r="BM49" s="13">
        <f t="shared" si="57"/>
        <v>1</v>
      </c>
      <c r="BN49" s="13">
        <f t="shared" si="57"/>
        <v>0</v>
      </c>
      <c r="BO49" s="13">
        <f t="shared" si="58"/>
        <v>9.5541401273885485E-3</v>
      </c>
      <c r="BP49" s="13">
        <f t="shared" si="58"/>
        <v>0.49775784753363228</v>
      </c>
      <c r="BQ49" s="13">
        <f t="shared" si="58"/>
        <v>1</v>
      </c>
      <c r="BR49" s="50">
        <f t="shared" si="58"/>
        <v>0</v>
      </c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</row>
    <row r="50" spans="1:82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89">
        <v>0</v>
      </c>
      <c r="AL50" s="39" t="s">
        <v>17</v>
      </c>
      <c r="AM50" s="43">
        <f t="shared" si="48"/>
        <v>0.94212218649517687</v>
      </c>
      <c r="AN50" s="44">
        <f t="shared" si="49"/>
        <v>5.0847457627118647E-2</v>
      </c>
      <c r="AO50" s="44">
        <f t="shared" si="50"/>
        <v>0</v>
      </c>
      <c r="AP50" s="79">
        <f t="shared" si="51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17</v>
      </c>
      <c r="BE50" s="43">
        <f t="shared" si="9"/>
        <v>5.7877813504823128E-2</v>
      </c>
      <c r="BF50" s="44">
        <f t="shared" si="9"/>
        <v>0.94915254237288138</v>
      </c>
      <c r="BG50" s="44">
        <f t="shared" si="9"/>
        <v>1</v>
      </c>
      <c r="BH50" s="79">
        <f t="shared" si="9"/>
        <v>0.11111111111111116</v>
      </c>
      <c r="BI50" s="45"/>
      <c r="BJ50" s="39" t="s">
        <v>12</v>
      </c>
      <c r="BK50" s="13">
        <f t="shared" si="57"/>
        <v>1.4681892332789581E-2</v>
      </c>
      <c r="BL50" s="13">
        <f t="shared" si="57"/>
        <v>0.44978165938864634</v>
      </c>
      <c r="BM50" s="13">
        <f t="shared" si="57"/>
        <v>0.24390243902439024</v>
      </c>
      <c r="BN50" s="13">
        <f t="shared" si="57"/>
        <v>0</v>
      </c>
      <c r="BO50" s="13">
        <f t="shared" si="58"/>
        <v>0.5073409461663948</v>
      </c>
      <c r="BP50" s="13">
        <f t="shared" si="58"/>
        <v>0.67685589519650657</v>
      </c>
      <c r="BQ50" s="13">
        <f t="shared" si="58"/>
        <v>0.6097560975609756</v>
      </c>
      <c r="BR50" s="50">
        <f t="shared" si="58"/>
        <v>0.43750000000000006</v>
      </c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</row>
    <row r="51" spans="1:82" ht="15.75" thickBot="1" x14ac:dyDescent="0.3">
      <c r="A51" s="53" t="s">
        <v>118</v>
      </c>
      <c r="B51" s="58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8" t="s">
        <v>119</v>
      </c>
      <c r="J51" s="24">
        <v>0</v>
      </c>
      <c r="K51" s="24">
        <v>53</v>
      </c>
      <c r="L51" s="24">
        <v>7</v>
      </c>
      <c r="M51" s="24">
        <v>0</v>
      </c>
      <c r="N51" s="58" t="s">
        <v>120</v>
      </c>
      <c r="O51" s="24">
        <v>4</v>
      </c>
      <c r="P51" s="24">
        <v>96</v>
      </c>
      <c r="Q51" s="24">
        <v>8</v>
      </c>
      <c r="R51" s="90">
        <v>1</v>
      </c>
      <c r="AL51" s="72" t="s">
        <v>21</v>
      </c>
      <c r="AM51" s="83">
        <f t="shared" si="48"/>
        <v>0.99678456591639875</v>
      </c>
      <c r="AN51" s="84">
        <f t="shared" si="49"/>
        <v>0</v>
      </c>
      <c r="AO51" s="84">
        <f t="shared" si="50"/>
        <v>0</v>
      </c>
      <c r="AP51" s="85">
        <f t="shared" si="51"/>
        <v>1</v>
      </c>
      <c r="AR51" s="53" t="s">
        <v>21</v>
      </c>
      <c r="AS51" s="18">
        <v>4</v>
      </c>
      <c r="AT51" s="59">
        <v>1</v>
      </c>
      <c r="AU51" s="59">
        <v>0.29943502824858759</v>
      </c>
      <c r="AV51" s="59">
        <v>0.73076923076923073</v>
      </c>
      <c r="AW51" s="59">
        <v>0</v>
      </c>
      <c r="AX51" s="18">
        <v>5</v>
      </c>
      <c r="AY51" s="59">
        <v>0.98713826366559487</v>
      </c>
      <c r="AZ51" s="59">
        <v>0.5423728813559322</v>
      </c>
      <c r="BA51" s="59">
        <v>0.69230769230769229</v>
      </c>
      <c r="BB51" s="60">
        <v>0.1111111111111111</v>
      </c>
      <c r="BC51" s="45"/>
      <c r="BD51" s="72" t="s">
        <v>21</v>
      </c>
      <c r="BE51" s="83">
        <f t="shared" si="9"/>
        <v>3.215434083601254E-3</v>
      </c>
      <c r="BF51" s="84">
        <f t="shared" si="9"/>
        <v>1</v>
      </c>
      <c r="BG51" s="84">
        <f t="shared" si="9"/>
        <v>1</v>
      </c>
      <c r="BH51" s="85">
        <f t="shared" si="9"/>
        <v>0</v>
      </c>
      <c r="BI51" s="45"/>
      <c r="BJ51" s="39" t="s">
        <v>13</v>
      </c>
      <c r="BK51" s="13">
        <f t="shared" si="57"/>
        <v>2.1604938271604934E-2</v>
      </c>
      <c r="BL51" s="13">
        <f t="shared" si="57"/>
        <v>0.25523012552301261</v>
      </c>
      <c r="BM51" s="13">
        <f t="shared" si="57"/>
        <v>0.79310344827586199</v>
      </c>
      <c r="BN51" s="13">
        <f t="shared" si="57"/>
        <v>0</v>
      </c>
      <c r="BO51" s="13">
        <f t="shared" si="58"/>
        <v>6.1728395061728419E-2</v>
      </c>
      <c r="BP51" s="13">
        <f t="shared" si="58"/>
        <v>0.5146443514644351</v>
      </c>
      <c r="BQ51" s="13">
        <f t="shared" si="58"/>
        <v>0.89655172413793105</v>
      </c>
      <c r="BR51" s="50">
        <f t="shared" si="58"/>
        <v>0.35714285714285715</v>
      </c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</row>
    <row r="52" spans="1:82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6">
        <f t="shared" si="48"/>
        <v>0.96784565916398713</v>
      </c>
      <c r="AN52" s="77">
        <f t="shared" si="49"/>
        <v>0.49717514124293788</v>
      </c>
      <c r="AO52" s="77">
        <f t="shared" si="50"/>
        <v>3.8461538461538464E-2</v>
      </c>
      <c r="AP52" s="78">
        <f t="shared" si="51"/>
        <v>0.77777777777777779</v>
      </c>
      <c r="AR52" s="4"/>
      <c r="BD52" s="36" t="s">
        <v>1</v>
      </c>
      <c r="BE52" s="76">
        <f t="shared" si="9"/>
        <v>3.2154340836012874E-2</v>
      </c>
      <c r="BF52" s="77">
        <f t="shared" si="9"/>
        <v>0.50282485875706207</v>
      </c>
      <c r="BG52" s="77">
        <f t="shared" si="9"/>
        <v>0.96153846153846156</v>
      </c>
      <c r="BH52" s="78">
        <f t="shared" si="9"/>
        <v>0.22222222222222221</v>
      </c>
      <c r="BJ52" s="39" t="s">
        <v>14</v>
      </c>
      <c r="BK52" s="13">
        <f t="shared" si="57"/>
        <v>5.9659090909090898E-2</v>
      </c>
      <c r="BL52" s="13">
        <f t="shared" si="57"/>
        <v>0.40092165898617516</v>
      </c>
      <c r="BM52" s="13">
        <f t="shared" si="57"/>
        <v>0.92592592592592582</v>
      </c>
      <c r="BN52" s="13">
        <f t="shared" si="57"/>
        <v>0</v>
      </c>
      <c r="BO52" s="13">
        <f t="shared" si="58"/>
        <v>0.17613636363636365</v>
      </c>
      <c r="BP52" s="13">
        <f t="shared" si="58"/>
        <v>0.58525345622119818</v>
      </c>
      <c r="BQ52" s="13">
        <f t="shared" si="58"/>
        <v>0.96296296296296291</v>
      </c>
      <c r="BR52" s="50">
        <f t="shared" si="58"/>
        <v>0.4</v>
      </c>
    </row>
    <row r="53" spans="1:82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48"/>
        <v>0.99678456591639875</v>
      </c>
      <c r="AN53" s="44">
        <f t="shared" si="49"/>
        <v>0.16384180790960451</v>
      </c>
      <c r="AO53" s="44">
        <f t="shared" si="50"/>
        <v>0.34615384615384615</v>
      </c>
      <c r="AP53" s="79">
        <f t="shared" si="51"/>
        <v>1</v>
      </c>
      <c r="AR53" s="4"/>
      <c r="BD53" s="39" t="s">
        <v>2</v>
      </c>
      <c r="BE53" s="43">
        <f t="shared" si="9"/>
        <v>3.215434083601254E-3</v>
      </c>
      <c r="BF53" s="44">
        <f t="shared" si="9"/>
        <v>0.83615819209039555</v>
      </c>
      <c r="BG53" s="44">
        <f t="shared" si="9"/>
        <v>0.65384615384615385</v>
      </c>
      <c r="BH53" s="79">
        <f t="shared" si="9"/>
        <v>0</v>
      </c>
      <c r="BJ53" s="39" t="s">
        <v>15</v>
      </c>
      <c r="BK53" s="13">
        <f t="shared" si="57"/>
        <v>9.4339622641509569E-3</v>
      </c>
      <c r="BL53" s="13">
        <f t="shared" si="57"/>
        <v>0.4358974358974359</v>
      </c>
      <c r="BM53" s="13">
        <f t="shared" si="57"/>
        <v>0.79310344827586199</v>
      </c>
      <c r="BN53" s="13">
        <f t="shared" si="57"/>
        <v>0</v>
      </c>
      <c r="BO53" s="13">
        <f t="shared" si="58"/>
        <v>3.1446540880503158E-2</v>
      </c>
      <c r="BP53" s="13">
        <f t="shared" si="58"/>
        <v>0.67948717948717952</v>
      </c>
      <c r="BQ53" s="13">
        <f t="shared" si="58"/>
        <v>0.89655172413793105</v>
      </c>
      <c r="BR53" s="50">
        <f t="shared" si="58"/>
        <v>0.1818181818181818</v>
      </c>
    </row>
    <row r="54" spans="1:82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48"/>
        <v>0.93569131832797425</v>
      </c>
      <c r="AN54" s="44">
        <f t="shared" si="49"/>
        <v>6.7796610169491525E-2</v>
      </c>
      <c r="AO54" s="44">
        <f t="shared" si="50"/>
        <v>0</v>
      </c>
      <c r="AP54" s="79">
        <f t="shared" si="51"/>
        <v>0.88888888888888884</v>
      </c>
      <c r="AR54" s="4"/>
      <c r="BD54" s="39" t="s">
        <v>4</v>
      </c>
      <c r="BE54" s="43">
        <f t="shared" si="9"/>
        <v>6.4308681672025747E-2</v>
      </c>
      <c r="BF54" s="44">
        <f t="shared" si="9"/>
        <v>0.93220338983050843</v>
      </c>
      <c r="BG54" s="44">
        <f t="shared" si="9"/>
        <v>1</v>
      </c>
      <c r="BH54" s="79">
        <f t="shared" si="9"/>
        <v>0.11111111111111116</v>
      </c>
      <c r="BJ54" s="39" t="s">
        <v>16</v>
      </c>
      <c r="BK54" s="13">
        <f t="shared" si="57"/>
        <v>9.3596059113300503E-2</v>
      </c>
      <c r="BL54" s="13">
        <f t="shared" si="57"/>
        <v>0.40350877192982459</v>
      </c>
      <c r="BM54" s="13">
        <f t="shared" si="57"/>
        <v>0.27500000000000008</v>
      </c>
      <c r="BN54" s="13">
        <f t="shared" si="57"/>
        <v>0.125</v>
      </c>
      <c r="BO54" s="13">
        <f t="shared" si="58"/>
        <v>0.32758620689655171</v>
      </c>
      <c r="BP54" s="13">
        <f t="shared" si="58"/>
        <v>0.62719298245614041</v>
      </c>
      <c r="BQ54" s="13">
        <f t="shared" si="58"/>
        <v>0.62500000000000011</v>
      </c>
      <c r="BR54" s="50">
        <f t="shared" si="58"/>
        <v>0.5625</v>
      </c>
    </row>
    <row r="55" spans="1:82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48"/>
        <v>0.89067524115755625</v>
      </c>
      <c r="AN55" s="44">
        <f t="shared" si="49"/>
        <v>0.30508474576271188</v>
      </c>
      <c r="AO55" s="44">
        <f t="shared" si="50"/>
        <v>3.8461538461538464E-2</v>
      </c>
      <c r="AP55" s="79">
        <f t="shared" si="51"/>
        <v>0.88888888888888884</v>
      </c>
      <c r="AR55" s="4"/>
      <c r="BD55" s="39" t="s">
        <v>5</v>
      </c>
      <c r="BE55" s="43">
        <f t="shared" si="9"/>
        <v>0.10932475884244375</v>
      </c>
      <c r="BF55" s="44">
        <f t="shared" si="9"/>
        <v>0.69491525423728806</v>
      </c>
      <c r="BG55" s="44">
        <f t="shared" si="9"/>
        <v>0.96153846153846156</v>
      </c>
      <c r="BH55" s="79">
        <f t="shared" si="9"/>
        <v>0.11111111111111116</v>
      </c>
      <c r="BJ55" s="39" t="s">
        <v>17</v>
      </c>
      <c r="BK55" s="13">
        <f t="shared" si="57"/>
        <v>1.2012012012011993E-2</v>
      </c>
      <c r="BL55" s="13">
        <f t="shared" si="57"/>
        <v>0.56108597285067874</v>
      </c>
      <c r="BM55" s="13">
        <f t="shared" si="57"/>
        <v>0.92592592592592582</v>
      </c>
      <c r="BN55" s="13">
        <f t="shared" si="57"/>
        <v>0</v>
      </c>
      <c r="BO55" s="13">
        <f t="shared" si="58"/>
        <v>7.8078078078078109E-2</v>
      </c>
      <c r="BP55" s="13">
        <f t="shared" si="58"/>
        <v>0.7601809954751132</v>
      </c>
      <c r="BQ55" s="13">
        <f t="shared" si="58"/>
        <v>0.96296296296296291</v>
      </c>
      <c r="BR55" s="50">
        <f t="shared" si="58"/>
        <v>0.1818181818181818</v>
      </c>
    </row>
    <row r="56" spans="1:82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48"/>
        <v>0.89067524115755625</v>
      </c>
      <c r="AN56" s="44">
        <f t="shared" si="49"/>
        <v>0.68926553672316382</v>
      </c>
      <c r="AO56" s="44">
        <f t="shared" si="50"/>
        <v>3.8461538461538464E-2</v>
      </c>
      <c r="AP56" s="79">
        <f t="shared" si="51"/>
        <v>0.88888888888888884</v>
      </c>
      <c r="AR56" s="4"/>
      <c r="BD56" s="39" t="s">
        <v>6</v>
      </c>
      <c r="BE56" s="43">
        <f t="shared" si="9"/>
        <v>0.10932475884244375</v>
      </c>
      <c r="BF56" s="44">
        <f t="shared" si="9"/>
        <v>0.31073446327683618</v>
      </c>
      <c r="BG56" s="44">
        <f t="shared" si="9"/>
        <v>0.96153846153846156</v>
      </c>
      <c r="BH56" s="79">
        <f t="shared" si="9"/>
        <v>0.11111111111111116</v>
      </c>
      <c r="BJ56" s="53" t="s">
        <v>21</v>
      </c>
      <c r="BK56" s="54">
        <f t="shared" si="57"/>
        <v>0</v>
      </c>
      <c r="BL56" s="54">
        <f t="shared" si="57"/>
        <v>0.2967032967032967</v>
      </c>
      <c r="BM56" s="54">
        <f t="shared" si="57"/>
        <v>0.52941176470588236</v>
      </c>
      <c r="BN56" s="54">
        <f t="shared" si="57"/>
        <v>0</v>
      </c>
      <c r="BO56" s="54">
        <f t="shared" si="58"/>
        <v>1.2698412698412683E-2</v>
      </c>
      <c r="BP56" s="54">
        <f t="shared" si="58"/>
        <v>0.64835164835164838</v>
      </c>
      <c r="BQ56" s="54">
        <f t="shared" si="58"/>
        <v>0.76470588235294112</v>
      </c>
      <c r="BR56" s="55">
        <f t="shared" si="58"/>
        <v>0.10000000000000003</v>
      </c>
    </row>
    <row r="57" spans="1:82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48"/>
        <v>0.92604501607717038</v>
      </c>
      <c r="AN57" s="44">
        <f t="shared" si="49"/>
        <v>0.34463276836158191</v>
      </c>
      <c r="AO57" s="44">
        <f t="shared" si="50"/>
        <v>3.8461538461538464E-2</v>
      </c>
      <c r="AP57" s="79">
        <f t="shared" si="51"/>
        <v>0.88888888888888884</v>
      </c>
      <c r="AR57" s="4"/>
      <c r="BD57" s="39" t="s">
        <v>8</v>
      </c>
      <c r="BE57" s="43">
        <f t="shared" si="9"/>
        <v>7.395498392282962E-2</v>
      </c>
      <c r="BF57" s="44">
        <f t="shared" si="9"/>
        <v>0.65536723163841804</v>
      </c>
      <c r="BG57" s="44">
        <f t="shared" si="9"/>
        <v>0.96153846153846156</v>
      </c>
      <c r="BH57" s="79">
        <f t="shared" si="9"/>
        <v>0.11111111111111116</v>
      </c>
    </row>
    <row r="58" spans="1:82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48"/>
        <v>0.90675241157556274</v>
      </c>
      <c r="AN58" s="44">
        <f t="shared" si="49"/>
        <v>0.22598870056497175</v>
      </c>
      <c r="AO58" s="44">
        <f t="shared" si="50"/>
        <v>0</v>
      </c>
      <c r="AP58" s="79">
        <f t="shared" si="51"/>
        <v>1</v>
      </c>
      <c r="AR58" s="4"/>
      <c r="BD58" s="39" t="s">
        <v>9</v>
      </c>
      <c r="BE58" s="43">
        <f t="shared" si="9"/>
        <v>9.3247588424437255E-2</v>
      </c>
      <c r="BF58" s="44">
        <f t="shared" si="9"/>
        <v>0.77401129943502822</v>
      </c>
      <c r="BG58" s="44">
        <f t="shared" si="9"/>
        <v>1</v>
      </c>
      <c r="BH58" s="79">
        <f t="shared" si="9"/>
        <v>0</v>
      </c>
    </row>
    <row r="59" spans="1:82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48"/>
        <v>0.70096463022508038</v>
      </c>
      <c r="AN59" s="44">
        <f t="shared" si="49"/>
        <v>0.2824858757062147</v>
      </c>
      <c r="AO59" s="44">
        <f t="shared" si="50"/>
        <v>7.6923076923076927E-2</v>
      </c>
      <c r="AP59" s="79">
        <f t="shared" si="51"/>
        <v>0.77777777777777779</v>
      </c>
      <c r="AR59" s="4"/>
      <c r="BD59" s="39" t="s">
        <v>10</v>
      </c>
      <c r="BE59" s="43">
        <f t="shared" si="9"/>
        <v>0.29903536977491962</v>
      </c>
      <c r="BF59" s="44">
        <f t="shared" si="9"/>
        <v>0.71751412429378525</v>
      </c>
      <c r="BG59" s="44">
        <f t="shared" si="9"/>
        <v>0.92307692307692313</v>
      </c>
      <c r="BH59" s="79">
        <f t="shared" si="9"/>
        <v>0.22222222222222221</v>
      </c>
    </row>
    <row r="60" spans="1:82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48"/>
        <v>0.99678456591639875</v>
      </c>
      <c r="AN60" s="44">
        <f t="shared" si="49"/>
        <v>0.47457627118644069</v>
      </c>
      <c r="AO60" s="44">
        <f t="shared" si="50"/>
        <v>0</v>
      </c>
      <c r="AP60" s="79">
        <f t="shared" si="51"/>
        <v>1</v>
      </c>
      <c r="AR60" s="4"/>
      <c r="BD60" s="39" t="s">
        <v>11</v>
      </c>
      <c r="BE60" s="43">
        <f t="shared" si="9"/>
        <v>3.215434083601254E-3</v>
      </c>
      <c r="BF60" s="44">
        <f t="shared" si="9"/>
        <v>0.52542372881355925</v>
      </c>
      <c r="BG60" s="44">
        <f t="shared" si="9"/>
        <v>1</v>
      </c>
      <c r="BH60" s="79">
        <f t="shared" si="9"/>
        <v>0</v>
      </c>
    </row>
    <row r="61" spans="1:82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48"/>
        <v>0.95176848874598075</v>
      </c>
      <c r="AN61" s="44">
        <f t="shared" si="49"/>
        <v>0.12429378531073447</v>
      </c>
      <c r="AO61" s="44">
        <f t="shared" si="50"/>
        <v>0.26923076923076922</v>
      </c>
      <c r="AP61" s="79">
        <f t="shared" si="51"/>
        <v>1</v>
      </c>
      <c r="AR61" s="4"/>
      <c r="BD61" s="39" t="s">
        <v>12</v>
      </c>
      <c r="BE61" s="43">
        <f t="shared" si="9"/>
        <v>4.8231511254019255E-2</v>
      </c>
      <c r="BF61" s="44">
        <f t="shared" si="9"/>
        <v>0.87570621468926557</v>
      </c>
      <c r="BG61" s="44">
        <f t="shared" si="9"/>
        <v>0.73076923076923084</v>
      </c>
      <c r="BH61" s="79">
        <f t="shared" si="9"/>
        <v>0</v>
      </c>
    </row>
    <row r="62" spans="1:82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48"/>
        <v>0.96141479099678462</v>
      </c>
      <c r="AN62" s="44">
        <f t="shared" si="49"/>
        <v>0.65536723163841804</v>
      </c>
      <c r="AO62" s="44">
        <f t="shared" si="50"/>
        <v>7.6923076923076927E-2</v>
      </c>
      <c r="AP62" s="79">
        <f t="shared" si="51"/>
        <v>1</v>
      </c>
      <c r="AR62" s="4"/>
      <c r="BD62" s="39" t="s">
        <v>13</v>
      </c>
      <c r="BE62" s="43">
        <f t="shared" si="9"/>
        <v>3.8585209003215382E-2</v>
      </c>
      <c r="BF62" s="44">
        <f t="shared" si="9"/>
        <v>0.34463276836158196</v>
      </c>
      <c r="BG62" s="44">
        <f t="shared" si="9"/>
        <v>0.92307692307692313</v>
      </c>
      <c r="BH62" s="79">
        <f t="shared" si="9"/>
        <v>0</v>
      </c>
    </row>
    <row r="63" spans="1:82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48"/>
        <v>0.92926045016077174</v>
      </c>
      <c r="AN63" s="44">
        <f t="shared" si="49"/>
        <v>0.3615819209039548</v>
      </c>
      <c r="AO63" s="44">
        <f t="shared" si="50"/>
        <v>0</v>
      </c>
      <c r="AP63" s="79">
        <f t="shared" si="51"/>
        <v>1</v>
      </c>
      <c r="AR63" s="4"/>
      <c r="BD63" s="39" t="s">
        <v>14</v>
      </c>
      <c r="BE63" s="43">
        <f t="shared" si="9"/>
        <v>7.0739549839228255E-2</v>
      </c>
      <c r="BF63" s="44">
        <f t="shared" si="9"/>
        <v>0.6384180790960452</v>
      </c>
      <c r="BG63" s="44">
        <f t="shared" si="9"/>
        <v>1</v>
      </c>
      <c r="BH63" s="79">
        <f t="shared" si="9"/>
        <v>0</v>
      </c>
    </row>
    <row r="64" spans="1:82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48"/>
        <v>0.98713826366559487</v>
      </c>
      <c r="AN64" s="44">
        <f t="shared" si="49"/>
        <v>0.15254237288135594</v>
      </c>
      <c r="AO64" s="44">
        <f t="shared" si="50"/>
        <v>3.8461538461538464E-2</v>
      </c>
      <c r="AP64" s="79">
        <f t="shared" si="51"/>
        <v>0.77777777777777779</v>
      </c>
      <c r="AR64" s="4"/>
      <c r="BD64" s="39" t="s">
        <v>15</v>
      </c>
      <c r="BE64" s="43">
        <f t="shared" si="9"/>
        <v>1.2861736334405127E-2</v>
      </c>
      <c r="BF64" s="44">
        <f t="shared" si="9"/>
        <v>0.84745762711864403</v>
      </c>
      <c r="BG64" s="44">
        <f t="shared" si="9"/>
        <v>0.96153846153846156</v>
      </c>
      <c r="BH64" s="79">
        <f t="shared" si="9"/>
        <v>0.22222222222222221</v>
      </c>
    </row>
    <row r="65" spans="1:60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48"/>
        <v>0.83279742765273312</v>
      </c>
      <c r="AN65" s="44">
        <f t="shared" si="49"/>
        <v>0.19209039548022599</v>
      </c>
      <c r="AO65" s="44">
        <f t="shared" si="50"/>
        <v>0.15384615384615385</v>
      </c>
      <c r="AP65" s="79">
        <f t="shared" si="51"/>
        <v>0.55555555555555558</v>
      </c>
      <c r="AR65" s="4"/>
      <c r="BD65" s="39" t="s">
        <v>16</v>
      </c>
      <c r="BE65" s="43">
        <f t="shared" si="9"/>
        <v>0.16720257234726688</v>
      </c>
      <c r="BF65" s="44">
        <f t="shared" si="9"/>
        <v>0.80790960451977401</v>
      </c>
      <c r="BG65" s="44">
        <f t="shared" si="9"/>
        <v>0.84615384615384615</v>
      </c>
      <c r="BH65" s="79">
        <f t="shared" si="9"/>
        <v>0.44444444444444442</v>
      </c>
    </row>
    <row r="66" spans="1:60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48"/>
        <v>0.97106109324758838</v>
      </c>
      <c r="AN66" s="44">
        <f t="shared" si="49"/>
        <v>6.2146892655367235E-2</v>
      </c>
      <c r="AO66" s="44">
        <f t="shared" si="50"/>
        <v>0</v>
      </c>
      <c r="AP66" s="79">
        <f t="shared" si="51"/>
        <v>1</v>
      </c>
      <c r="AR66" s="4"/>
      <c r="BD66" s="39" t="s">
        <v>17</v>
      </c>
      <c r="BE66" s="43">
        <f t="shared" si="9"/>
        <v>2.8938906752411619E-2</v>
      </c>
      <c r="BF66" s="44">
        <f t="shared" si="9"/>
        <v>0.93785310734463279</v>
      </c>
      <c r="BG66" s="44">
        <f t="shared" si="9"/>
        <v>1</v>
      </c>
      <c r="BH66" s="79">
        <f t="shared" si="9"/>
        <v>0</v>
      </c>
    </row>
    <row r="67" spans="1:60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48"/>
        <v>1</v>
      </c>
      <c r="AN67" s="44">
        <f t="shared" si="49"/>
        <v>5.6497175141242938E-3</v>
      </c>
      <c r="AO67" s="44">
        <f t="shared" si="50"/>
        <v>0</v>
      </c>
      <c r="AP67" s="79">
        <f t="shared" si="51"/>
        <v>1</v>
      </c>
      <c r="AR67" s="4"/>
      <c r="BD67" s="39" t="s">
        <v>21</v>
      </c>
      <c r="BE67" s="43">
        <f t="shared" si="9"/>
        <v>0</v>
      </c>
      <c r="BF67" s="44">
        <f t="shared" si="9"/>
        <v>0.99435028248587576</v>
      </c>
      <c r="BG67" s="44">
        <f t="shared" si="9"/>
        <v>1</v>
      </c>
      <c r="BH67" s="79">
        <f t="shared" si="9"/>
        <v>0</v>
      </c>
    </row>
    <row r="68" spans="1:60" ht="15.75" thickBot="1" x14ac:dyDescent="0.3">
      <c r="A68" s="72" t="s">
        <v>123</v>
      </c>
      <c r="B68" s="73" t="s">
        <v>1</v>
      </c>
      <c r="C68" s="74">
        <v>18</v>
      </c>
      <c r="D68" s="74">
        <v>107</v>
      </c>
      <c r="E68" s="74">
        <v>2</v>
      </c>
      <c r="F68" s="75">
        <v>3</v>
      </c>
      <c r="H68" s="4"/>
      <c r="AL68" s="39" t="s">
        <v>1</v>
      </c>
      <c r="AM68" s="86">
        <f t="shared" ref="AM68:AM99" si="59">(AG$4-C68)/(AG$4-AG$5)</f>
        <v>0.94212218649517687</v>
      </c>
      <c r="AN68" s="87">
        <f t="shared" ref="AN68:AN99" si="60">(D68-AH$5)/(AH$4-AH$5)</f>
        <v>0.60451977401129942</v>
      </c>
      <c r="AO68" s="87">
        <f t="shared" ref="AO68:AO99" si="61">(E68-AI$5)/(AI$4-AI$5)</f>
        <v>7.6923076923076927E-2</v>
      </c>
      <c r="AP68" s="88">
        <f t="shared" ref="AP68:AP99" si="62">(AJ$4-F68)/(AJ$4-AJ$5)</f>
        <v>0.66666666666666663</v>
      </c>
      <c r="AR68" s="4"/>
      <c r="BD68" s="39" t="s">
        <v>1</v>
      </c>
      <c r="BE68" s="86">
        <f t="shared" si="9"/>
        <v>5.7877813504823128E-2</v>
      </c>
      <c r="BF68" s="87">
        <f t="shared" si="9"/>
        <v>0.39548022598870058</v>
      </c>
      <c r="BG68" s="87">
        <f t="shared" si="9"/>
        <v>0.92307692307692313</v>
      </c>
      <c r="BH68" s="88">
        <f t="shared" si="9"/>
        <v>0.33333333333333337</v>
      </c>
    </row>
    <row r="69" spans="1:60" ht="15.75" thickBot="1" x14ac:dyDescent="0.3">
      <c r="A69" s="36" t="s">
        <v>123</v>
      </c>
      <c r="B69" s="69" t="s">
        <v>2</v>
      </c>
      <c r="C69" s="70">
        <v>1</v>
      </c>
      <c r="D69" s="70">
        <v>144</v>
      </c>
      <c r="E69" s="70">
        <v>3</v>
      </c>
      <c r="F69" s="71">
        <v>1</v>
      </c>
      <c r="H69" s="4"/>
      <c r="AL69" s="39" t="s">
        <v>2</v>
      </c>
      <c r="AM69" s="43">
        <f t="shared" si="59"/>
        <v>0.99678456591639875</v>
      </c>
      <c r="AN69" s="44">
        <f t="shared" si="60"/>
        <v>0.81355932203389836</v>
      </c>
      <c r="AO69" s="44">
        <f t="shared" si="61"/>
        <v>0.11538461538461539</v>
      </c>
      <c r="AP69" s="79">
        <f t="shared" si="62"/>
        <v>0.88888888888888884</v>
      </c>
      <c r="AR69" s="4"/>
      <c r="BD69" s="39" t="s">
        <v>2</v>
      </c>
      <c r="BE69" s="43">
        <f t="shared" ref="BE69:BH99" si="63">1-AM69</f>
        <v>3.215434083601254E-3</v>
      </c>
      <c r="BF69" s="44">
        <f t="shared" si="63"/>
        <v>0.18644067796610164</v>
      </c>
      <c r="BG69" s="44">
        <f t="shared" si="63"/>
        <v>0.88461538461538458</v>
      </c>
      <c r="BH69" s="79">
        <f t="shared" si="63"/>
        <v>0.11111111111111116</v>
      </c>
    </row>
    <row r="70" spans="1:60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59"/>
        <v>0.74919614147909963</v>
      </c>
      <c r="AN70" s="44">
        <f t="shared" si="60"/>
        <v>0.12994350282485875</v>
      </c>
      <c r="AO70" s="44">
        <f t="shared" si="61"/>
        <v>7.6923076923076927E-2</v>
      </c>
      <c r="AP70" s="79">
        <f t="shared" si="62"/>
        <v>0.88888888888888884</v>
      </c>
      <c r="AR70" s="4"/>
      <c r="BD70" s="39" t="s">
        <v>4</v>
      </c>
      <c r="BE70" s="43">
        <f t="shared" si="63"/>
        <v>0.25080385852090037</v>
      </c>
      <c r="BF70" s="44">
        <f t="shared" si="63"/>
        <v>0.87005649717514122</v>
      </c>
      <c r="BG70" s="44">
        <f t="shared" si="63"/>
        <v>0.92307692307692313</v>
      </c>
      <c r="BH70" s="79">
        <f t="shared" si="63"/>
        <v>0.11111111111111116</v>
      </c>
    </row>
    <row r="71" spans="1:60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59"/>
        <v>0.89389067524115751</v>
      </c>
      <c r="AN71" s="44">
        <f t="shared" si="60"/>
        <v>0.49152542372881358</v>
      </c>
      <c r="AO71" s="44">
        <f t="shared" si="61"/>
        <v>0</v>
      </c>
      <c r="AP71" s="79">
        <f t="shared" si="62"/>
        <v>1</v>
      </c>
      <c r="AR71" s="4"/>
      <c r="BD71" s="39" t="s">
        <v>5</v>
      </c>
      <c r="BE71" s="43">
        <f t="shared" si="63"/>
        <v>0.10610932475884249</v>
      </c>
      <c r="BF71" s="44">
        <f t="shared" si="63"/>
        <v>0.50847457627118642</v>
      </c>
      <c r="BG71" s="44">
        <f t="shared" si="63"/>
        <v>1</v>
      </c>
      <c r="BH71" s="79">
        <f t="shared" si="63"/>
        <v>0</v>
      </c>
    </row>
    <row r="72" spans="1:60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59"/>
        <v>0.90353697749196138</v>
      </c>
      <c r="AN72" s="44">
        <f t="shared" si="60"/>
        <v>0.4463276836158192</v>
      </c>
      <c r="AO72" s="44">
        <f t="shared" si="61"/>
        <v>0.11538461538461539</v>
      </c>
      <c r="AP72" s="79">
        <f t="shared" si="62"/>
        <v>0.88888888888888884</v>
      </c>
      <c r="AR72" s="4"/>
      <c r="BD72" s="39" t="s">
        <v>6</v>
      </c>
      <c r="BE72" s="43">
        <f t="shared" si="63"/>
        <v>9.6463022508038621E-2</v>
      </c>
      <c r="BF72" s="44">
        <f t="shared" si="63"/>
        <v>0.5536723163841808</v>
      </c>
      <c r="BG72" s="44">
        <f t="shared" si="63"/>
        <v>0.88461538461538458</v>
      </c>
      <c r="BH72" s="79">
        <f t="shared" si="63"/>
        <v>0.11111111111111116</v>
      </c>
    </row>
    <row r="73" spans="1:60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59"/>
        <v>0.87781350482315113</v>
      </c>
      <c r="AN73" s="44">
        <f t="shared" si="60"/>
        <v>0.2824858757062147</v>
      </c>
      <c r="AO73" s="44">
        <f t="shared" si="61"/>
        <v>3.8461538461538464E-2</v>
      </c>
      <c r="AP73" s="79">
        <f t="shared" si="62"/>
        <v>0.66666666666666663</v>
      </c>
      <c r="AR73" s="4"/>
      <c r="BD73" s="39" t="s">
        <v>8</v>
      </c>
      <c r="BE73" s="43">
        <f t="shared" si="63"/>
        <v>0.12218649517684887</v>
      </c>
      <c r="BF73" s="44">
        <f t="shared" si="63"/>
        <v>0.71751412429378525</v>
      </c>
      <c r="BG73" s="44">
        <f t="shared" si="63"/>
        <v>0.96153846153846156</v>
      </c>
      <c r="BH73" s="79">
        <f t="shared" si="63"/>
        <v>0.33333333333333337</v>
      </c>
    </row>
    <row r="74" spans="1:60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59"/>
        <v>0.6463022508038585</v>
      </c>
      <c r="AN74" s="44">
        <f t="shared" si="60"/>
        <v>1</v>
      </c>
      <c r="AO74" s="44">
        <f t="shared" si="61"/>
        <v>3.8461538461538464E-2</v>
      </c>
      <c r="AP74" s="79">
        <f t="shared" si="62"/>
        <v>0.44444444444444442</v>
      </c>
      <c r="AR74" s="4"/>
      <c r="BD74" s="39" t="s">
        <v>9</v>
      </c>
      <c r="BE74" s="43">
        <f t="shared" si="63"/>
        <v>0.3536977491961415</v>
      </c>
      <c r="BF74" s="44">
        <f t="shared" si="63"/>
        <v>0</v>
      </c>
      <c r="BG74" s="44">
        <f t="shared" si="63"/>
        <v>0.96153846153846156</v>
      </c>
      <c r="BH74" s="79">
        <f t="shared" si="63"/>
        <v>0.55555555555555558</v>
      </c>
    </row>
    <row r="75" spans="1:60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59"/>
        <v>0.54019292604501612</v>
      </c>
      <c r="AN75" s="44">
        <f t="shared" si="60"/>
        <v>0.31638418079096048</v>
      </c>
      <c r="AO75" s="44">
        <f t="shared" si="61"/>
        <v>0.34615384615384615</v>
      </c>
      <c r="AP75" s="79">
        <f t="shared" si="62"/>
        <v>0.33333333333333331</v>
      </c>
      <c r="AR75" s="4"/>
      <c r="BD75" s="39" t="s">
        <v>10</v>
      </c>
      <c r="BE75" s="43">
        <f t="shared" si="63"/>
        <v>0.45980707395498388</v>
      </c>
      <c r="BF75" s="44">
        <f t="shared" si="63"/>
        <v>0.68361581920903958</v>
      </c>
      <c r="BG75" s="44">
        <f t="shared" si="63"/>
        <v>0.65384615384615385</v>
      </c>
      <c r="BH75" s="79">
        <f t="shared" si="63"/>
        <v>0.66666666666666674</v>
      </c>
    </row>
    <row r="76" spans="1:60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59"/>
        <v>0.99678456591639875</v>
      </c>
      <c r="AN76" s="44">
        <f t="shared" si="60"/>
        <v>0.63276836158192096</v>
      </c>
      <c r="AO76" s="44">
        <f t="shared" si="61"/>
        <v>0</v>
      </c>
      <c r="AP76" s="79">
        <f t="shared" si="62"/>
        <v>1</v>
      </c>
      <c r="AR76" s="4"/>
      <c r="BD76" s="39" t="s">
        <v>11</v>
      </c>
      <c r="BE76" s="43">
        <f t="shared" si="63"/>
        <v>3.215434083601254E-3</v>
      </c>
      <c r="BF76" s="44">
        <f t="shared" si="63"/>
        <v>0.36723163841807904</v>
      </c>
      <c r="BG76" s="44">
        <f t="shared" si="63"/>
        <v>1</v>
      </c>
      <c r="BH76" s="79">
        <f t="shared" si="63"/>
        <v>0</v>
      </c>
    </row>
    <row r="77" spans="1:60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59"/>
        <v>0.93890675241157562</v>
      </c>
      <c r="AN77" s="44">
        <f t="shared" si="60"/>
        <v>0.41807909604519772</v>
      </c>
      <c r="AO77" s="44">
        <f t="shared" si="61"/>
        <v>0.23076923076923078</v>
      </c>
      <c r="AP77" s="79">
        <f t="shared" si="62"/>
        <v>0.77777777777777779</v>
      </c>
      <c r="AR77" s="4"/>
      <c r="BD77" s="39" t="s">
        <v>12</v>
      </c>
      <c r="BE77" s="43">
        <f t="shared" si="63"/>
        <v>6.1093247588424382E-2</v>
      </c>
      <c r="BF77" s="44">
        <f t="shared" si="63"/>
        <v>0.58192090395480234</v>
      </c>
      <c r="BG77" s="44">
        <f t="shared" si="63"/>
        <v>0.76923076923076916</v>
      </c>
      <c r="BH77" s="79">
        <f t="shared" si="63"/>
        <v>0.22222222222222221</v>
      </c>
    </row>
    <row r="78" spans="1:60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59"/>
        <v>0.93890675241157562</v>
      </c>
      <c r="AN78" s="44">
        <f t="shared" si="60"/>
        <v>0.63276836158192096</v>
      </c>
      <c r="AO78" s="44">
        <f t="shared" si="61"/>
        <v>0.11538461538461539</v>
      </c>
      <c r="AP78" s="79">
        <f t="shared" si="62"/>
        <v>0.88888888888888884</v>
      </c>
      <c r="AR78" s="4"/>
      <c r="BD78" s="39" t="s">
        <v>13</v>
      </c>
      <c r="BE78" s="43">
        <f t="shared" si="63"/>
        <v>6.1093247588424382E-2</v>
      </c>
      <c r="BF78" s="44">
        <f t="shared" si="63"/>
        <v>0.36723163841807904</v>
      </c>
      <c r="BG78" s="44">
        <f t="shared" si="63"/>
        <v>0.88461538461538458</v>
      </c>
      <c r="BH78" s="79">
        <f t="shared" si="63"/>
        <v>0.11111111111111116</v>
      </c>
    </row>
    <row r="79" spans="1:60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59"/>
        <v>0.80064308681672025</v>
      </c>
      <c r="AN79" s="44">
        <f t="shared" si="60"/>
        <v>0.38983050847457629</v>
      </c>
      <c r="AO79" s="44">
        <f t="shared" si="61"/>
        <v>3.8461538461538464E-2</v>
      </c>
      <c r="AP79" s="79">
        <f t="shared" si="62"/>
        <v>0.77777777777777779</v>
      </c>
      <c r="AR79" s="4"/>
      <c r="BD79" s="39" t="s">
        <v>14</v>
      </c>
      <c r="BE79" s="43">
        <f t="shared" si="63"/>
        <v>0.19935691318327975</v>
      </c>
      <c r="BF79" s="44">
        <f t="shared" si="63"/>
        <v>0.61016949152542366</v>
      </c>
      <c r="BG79" s="44">
        <f t="shared" si="63"/>
        <v>0.96153846153846156</v>
      </c>
      <c r="BH79" s="79">
        <f t="shared" si="63"/>
        <v>0.22222222222222221</v>
      </c>
    </row>
    <row r="80" spans="1:60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59"/>
        <v>0.98713826366559487</v>
      </c>
      <c r="AN80" s="44">
        <f t="shared" si="60"/>
        <v>0.42372881355932202</v>
      </c>
      <c r="AO80" s="44">
        <f t="shared" si="61"/>
        <v>0</v>
      </c>
      <c r="AP80" s="79">
        <f t="shared" si="62"/>
        <v>1</v>
      </c>
      <c r="AR80" s="4"/>
      <c r="BD80" s="39" t="s">
        <v>15</v>
      </c>
      <c r="BE80" s="43">
        <f t="shared" si="63"/>
        <v>1.2861736334405127E-2</v>
      </c>
      <c r="BF80" s="44">
        <f t="shared" si="63"/>
        <v>0.57627118644067798</v>
      </c>
      <c r="BG80" s="44">
        <f t="shared" si="63"/>
        <v>1</v>
      </c>
      <c r="BH80" s="79">
        <f t="shared" si="63"/>
        <v>0</v>
      </c>
    </row>
    <row r="81" spans="1:60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59"/>
        <v>0.6913183279742765</v>
      </c>
      <c r="AN81" s="44">
        <f t="shared" si="60"/>
        <v>0.48022598870056499</v>
      </c>
      <c r="AO81" s="44">
        <f t="shared" si="61"/>
        <v>3.8461538461538464E-2</v>
      </c>
      <c r="AP81" s="79">
        <f t="shared" si="62"/>
        <v>0.55555555555555558</v>
      </c>
      <c r="AR81" s="4"/>
      <c r="BD81" s="39" t="s">
        <v>16</v>
      </c>
      <c r="BE81" s="43">
        <f t="shared" si="63"/>
        <v>0.3086816720257235</v>
      </c>
      <c r="BF81" s="44">
        <f t="shared" si="63"/>
        <v>0.51977401129943501</v>
      </c>
      <c r="BG81" s="44">
        <f t="shared" si="63"/>
        <v>0.96153846153846156</v>
      </c>
      <c r="BH81" s="79">
        <f t="shared" si="63"/>
        <v>0.44444444444444442</v>
      </c>
    </row>
    <row r="82" spans="1:60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59"/>
        <v>0.91639871382636651</v>
      </c>
      <c r="AN82" s="44">
        <f t="shared" si="60"/>
        <v>0.29943502824858759</v>
      </c>
      <c r="AO82" s="44">
        <f t="shared" si="61"/>
        <v>0</v>
      </c>
      <c r="AP82" s="79">
        <f t="shared" si="62"/>
        <v>0.77777777777777779</v>
      </c>
      <c r="AR82" s="4"/>
      <c r="BD82" s="39" t="s">
        <v>17</v>
      </c>
      <c r="BE82" s="43">
        <f t="shared" si="63"/>
        <v>8.3601286173633493E-2</v>
      </c>
      <c r="BF82" s="44">
        <f t="shared" si="63"/>
        <v>0.70056497175141241</v>
      </c>
      <c r="BG82" s="44">
        <f t="shared" si="63"/>
        <v>1</v>
      </c>
      <c r="BH82" s="79">
        <f t="shared" si="63"/>
        <v>0.22222222222222221</v>
      </c>
    </row>
    <row r="83" spans="1:60" ht="15.75" thickBot="1" x14ac:dyDescent="0.3">
      <c r="A83" s="53" t="s">
        <v>123</v>
      </c>
      <c r="B83" s="58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2" t="s">
        <v>21</v>
      </c>
      <c r="AM83" s="83">
        <f t="shared" si="59"/>
        <v>1</v>
      </c>
      <c r="AN83" s="84">
        <f t="shared" si="60"/>
        <v>0.29943502824858759</v>
      </c>
      <c r="AO83" s="84">
        <f t="shared" si="61"/>
        <v>0.26923076923076922</v>
      </c>
      <c r="AP83" s="85">
        <f t="shared" si="62"/>
        <v>1</v>
      </c>
      <c r="AR83" s="4"/>
      <c r="BD83" s="72" t="s">
        <v>21</v>
      </c>
      <c r="BE83" s="83">
        <f t="shared" si="63"/>
        <v>0</v>
      </c>
      <c r="BF83" s="84">
        <f t="shared" si="63"/>
        <v>0.70056497175141241</v>
      </c>
      <c r="BG83" s="84">
        <f t="shared" si="63"/>
        <v>0.73076923076923084</v>
      </c>
      <c r="BH83" s="85">
        <f t="shared" si="63"/>
        <v>0</v>
      </c>
    </row>
    <row r="84" spans="1:60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6">
        <f t="shared" si="59"/>
        <v>0.98392282958199362</v>
      </c>
      <c r="AN84" s="77">
        <f t="shared" si="60"/>
        <v>0.39548022598870058</v>
      </c>
      <c r="AO84" s="77">
        <f t="shared" si="61"/>
        <v>7.6923076923076927E-2</v>
      </c>
      <c r="AP84" s="78">
        <f t="shared" si="62"/>
        <v>0.88888888888888884</v>
      </c>
      <c r="AR84" s="4"/>
      <c r="BD84" s="36" t="s">
        <v>1</v>
      </c>
      <c r="BE84" s="76">
        <f t="shared" si="63"/>
        <v>1.6077170418006381E-2</v>
      </c>
      <c r="BF84" s="77">
        <f t="shared" si="63"/>
        <v>0.60451977401129942</v>
      </c>
      <c r="BG84" s="77">
        <f t="shared" si="63"/>
        <v>0.92307692307692313</v>
      </c>
      <c r="BH84" s="78">
        <f t="shared" si="63"/>
        <v>0.11111111111111116</v>
      </c>
    </row>
    <row r="85" spans="1:60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59"/>
        <v>0.99356913183279738</v>
      </c>
      <c r="AN85" s="44">
        <f t="shared" si="60"/>
        <v>0.3559322033898305</v>
      </c>
      <c r="AO85" s="44">
        <f t="shared" si="61"/>
        <v>1</v>
      </c>
      <c r="AP85" s="79">
        <f t="shared" si="62"/>
        <v>1</v>
      </c>
      <c r="AR85" s="4"/>
      <c r="BD85" s="39" t="s">
        <v>2</v>
      </c>
      <c r="BE85" s="43">
        <f t="shared" si="63"/>
        <v>6.4308681672026191E-3</v>
      </c>
      <c r="BF85" s="44">
        <f t="shared" si="63"/>
        <v>0.64406779661016955</v>
      </c>
      <c r="BG85" s="44">
        <f t="shared" si="63"/>
        <v>0</v>
      </c>
      <c r="BH85" s="79">
        <f t="shared" si="63"/>
        <v>0</v>
      </c>
    </row>
    <row r="86" spans="1:60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59"/>
        <v>0.909967845659164</v>
      </c>
      <c r="AN86" s="44">
        <f t="shared" si="60"/>
        <v>7.909604519774012E-2</v>
      </c>
      <c r="AO86" s="44">
        <f t="shared" si="61"/>
        <v>3.8461538461538464E-2</v>
      </c>
      <c r="AP86" s="79">
        <f t="shared" si="62"/>
        <v>0.77777777777777779</v>
      </c>
      <c r="AR86" s="4"/>
      <c r="BD86" s="39" t="s">
        <v>4</v>
      </c>
      <c r="BE86" s="43">
        <f t="shared" si="63"/>
        <v>9.0032154340836001E-2</v>
      </c>
      <c r="BF86" s="44">
        <f t="shared" si="63"/>
        <v>0.92090395480225984</v>
      </c>
      <c r="BG86" s="44">
        <f t="shared" si="63"/>
        <v>0.96153846153846156</v>
      </c>
      <c r="BH86" s="79">
        <f t="shared" si="63"/>
        <v>0.22222222222222221</v>
      </c>
    </row>
    <row r="87" spans="1:60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59"/>
        <v>0.909967845659164</v>
      </c>
      <c r="AN87" s="44">
        <f t="shared" si="60"/>
        <v>0.31638418079096048</v>
      </c>
      <c r="AO87" s="44">
        <f t="shared" si="61"/>
        <v>0</v>
      </c>
      <c r="AP87" s="79">
        <f t="shared" si="62"/>
        <v>1</v>
      </c>
      <c r="AR87" s="4"/>
      <c r="BD87" s="39" t="s">
        <v>5</v>
      </c>
      <c r="BE87" s="43">
        <f t="shared" si="63"/>
        <v>9.0032154340836001E-2</v>
      </c>
      <c r="BF87" s="44">
        <f t="shared" si="63"/>
        <v>0.68361581920903958</v>
      </c>
      <c r="BG87" s="44">
        <f t="shared" si="63"/>
        <v>1</v>
      </c>
      <c r="BH87" s="79">
        <f t="shared" si="63"/>
        <v>0</v>
      </c>
    </row>
    <row r="88" spans="1:60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59"/>
        <v>0.83601286173633438</v>
      </c>
      <c r="AN88" s="44">
        <f t="shared" si="60"/>
        <v>0.3728813559322034</v>
      </c>
      <c r="AO88" s="44">
        <f t="shared" si="61"/>
        <v>0.11538461538461539</v>
      </c>
      <c r="AP88" s="79">
        <f t="shared" si="62"/>
        <v>1</v>
      </c>
      <c r="AR88" s="4"/>
      <c r="BD88" s="39" t="s">
        <v>6</v>
      </c>
      <c r="BE88" s="43">
        <f t="shared" si="63"/>
        <v>0.16398713826366562</v>
      </c>
      <c r="BF88" s="44">
        <f t="shared" si="63"/>
        <v>0.6271186440677966</v>
      </c>
      <c r="BG88" s="44">
        <f t="shared" si="63"/>
        <v>0.88461538461538458</v>
      </c>
      <c r="BH88" s="79">
        <f t="shared" si="63"/>
        <v>0</v>
      </c>
    </row>
    <row r="89" spans="1:60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59"/>
        <v>0.93569131832797425</v>
      </c>
      <c r="AN89" s="44">
        <f t="shared" si="60"/>
        <v>0.1864406779661017</v>
      </c>
      <c r="AO89" s="44">
        <f t="shared" si="61"/>
        <v>3.8461538461538464E-2</v>
      </c>
      <c r="AP89" s="79">
        <f t="shared" si="62"/>
        <v>0.88888888888888884</v>
      </c>
      <c r="AR89" s="4"/>
      <c r="BD89" s="39" t="s">
        <v>8</v>
      </c>
      <c r="BE89" s="43">
        <f t="shared" si="63"/>
        <v>6.4308681672025747E-2</v>
      </c>
      <c r="BF89" s="44">
        <f t="shared" si="63"/>
        <v>0.81355932203389836</v>
      </c>
      <c r="BG89" s="44">
        <f t="shared" si="63"/>
        <v>0.96153846153846156</v>
      </c>
      <c r="BH89" s="79">
        <f t="shared" si="63"/>
        <v>0.11111111111111116</v>
      </c>
    </row>
    <row r="90" spans="1:60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59"/>
        <v>0.62700964630225076</v>
      </c>
      <c r="AN90" s="44">
        <f t="shared" si="60"/>
        <v>0.22598870056497175</v>
      </c>
      <c r="AO90" s="44">
        <f t="shared" si="61"/>
        <v>3.8461538461538464E-2</v>
      </c>
      <c r="AP90" s="79">
        <f t="shared" si="62"/>
        <v>0</v>
      </c>
      <c r="AR90" s="4"/>
      <c r="BD90" s="39" t="s">
        <v>9</v>
      </c>
      <c r="BE90" s="43">
        <f t="shared" si="63"/>
        <v>0.37299035369774924</v>
      </c>
      <c r="BF90" s="44">
        <f t="shared" si="63"/>
        <v>0.77401129943502822</v>
      </c>
      <c r="BG90" s="44">
        <f t="shared" si="63"/>
        <v>0.96153846153846156</v>
      </c>
      <c r="BH90" s="79">
        <f t="shared" si="63"/>
        <v>1</v>
      </c>
    </row>
    <row r="91" spans="1:60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59"/>
        <v>0.65273311897106112</v>
      </c>
      <c r="AN91" s="44">
        <f t="shared" si="60"/>
        <v>0.30508474576271188</v>
      </c>
      <c r="AO91" s="44">
        <f t="shared" si="61"/>
        <v>0.15384615384615385</v>
      </c>
      <c r="AP91" s="79">
        <f t="shared" si="62"/>
        <v>0.33333333333333331</v>
      </c>
      <c r="AR91" s="4"/>
      <c r="BD91" s="39" t="s">
        <v>10</v>
      </c>
      <c r="BE91" s="43">
        <f t="shared" si="63"/>
        <v>0.34726688102893888</v>
      </c>
      <c r="BF91" s="44">
        <f t="shared" si="63"/>
        <v>0.69491525423728806</v>
      </c>
      <c r="BG91" s="44">
        <f t="shared" si="63"/>
        <v>0.84615384615384615</v>
      </c>
      <c r="BH91" s="79">
        <f t="shared" si="63"/>
        <v>0.66666666666666674</v>
      </c>
    </row>
    <row r="92" spans="1:60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59"/>
        <v>0.99035369774919613</v>
      </c>
      <c r="AN92" s="44">
        <f t="shared" si="60"/>
        <v>0.40677966101694918</v>
      </c>
      <c r="AO92" s="44">
        <f t="shared" si="61"/>
        <v>0</v>
      </c>
      <c r="AP92" s="79">
        <f t="shared" si="62"/>
        <v>1</v>
      </c>
      <c r="AR92" s="4"/>
      <c r="BD92" s="39" t="s">
        <v>11</v>
      </c>
      <c r="BE92" s="43">
        <f t="shared" si="63"/>
        <v>9.6463022508038732E-3</v>
      </c>
      <c r="BF92" s="44">
        <f t="shared" si="63"/>
        <v>0.59322033898305082</v>
      </c>
      <c r="BG92" s="44">
        <f t="shared" si="63"/>
        <v>1</v>
      </c>
      <c r="BH92" s="79">
        <f t="shared" si="63"/>
        <v>0</v>
      </c>
    </row>
    <row r="93" spans="1:60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59"/>
        <v>0.97106109324758838</v>
      </c>
      <c r="AN93" s="44">
        <f t="shared" si="60"/>
        <v>0.21468926553672316</v>
      </c>
      <c r="AO93" s="44">
        <f t="shared" si="61"/>
        <v>3.8461538461538464E-2</v>
      </c>
      <c r="AP93" s="79">
        <f t="shared" si="62"/>
        <v>0.88888888888888884</v>
      </c>
      <c r="AR93" s="4"/>
      <c r="BD93" s="39" t="s">
        <v>12</v>
      </c>
      <c r="BE93" s="43">
        <f t="shared" si="63"/>
        <v>2.8938906752411619E-2</v>
      </c>
      <c r="BF93" s="44">
        <f t="shared" si="63"/>
        <v>0.78531073446327682</v>
      </c>
      <c r="BG93" s="44">
        <f t="shared" si="63"/>
        <v>0.96153846153846156</v>
      </c>
      <c r="BH93" s="79">
        <f t="shared" si="63"/>
        <v>0.11111111111111116</v>
      </c>
    </row>
    <row r="94" spans="1:60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59"/>
        <v>0.93569131832797425</v>
      </c>
      <c r="AN94" s="44">
        <f t="shared" si="60"/>
        <v>0.33898305084745761</v>
      </c>
      <c r="AO94" s="44">
        <f t="shared" si="61"/>
        <v>7.6923076923076927E-2</v>
      </c>
      <c r="AP94" s="79">
        <f t="shared" si="62"/>
        <v>0.44444444444444442</v>
      </c>
      <c r="AR94" s="4"/>
      <c r="BD94" s="39" t="s">
        <v>13</v>
      </c>
      <c r="BE94" s="43">
        <f t="shared" si="63"/>
        <v>6.4308681672025747E-2</v>
      </c>
      <c r="BF94" s="44">
        <f t="shared" si="63"/>
        <v>0.66101694915254239</v>
      </c>
      <c r="BG94" s="44">
        <f t="shared" si="63"/>
        <v>0.92307692307692313</v>
      </c>
      <c r="BH94" s="79">
        <f t="shared" si="63"/>
        <v>0.55555555555555558</v>
      </c>
    </row>
    <row r="95" spans="1:60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59"/>
        <v>0.83279742765273312</v>
      </c>
      <c r="AN95" s="44">
        <f t="shared" si="60"/>
        <v>0.50847457627118642</v>
      </c>
      <c r="AO95" s="44">
        <f t="shared" si="61"/>
        <v>3.8461538461538464E-2</v>
      </c>
      <c r="AP95" s="79">
        <f t="shared" si="62"/>
        <v>0.33333333333333331</v>
      </c>
      <c r="AR95" s="4"/>
      <c r="BD95" s="39" t="s">
        <v>14</v>
      </c>
      <c r="BE95" s="43">
        <f t="shared" si="63"/>
        <v>0.16720257234726688</v>
      </c>
      <c r="BF95" s="44">
        <f t="shared" si="63"/>
        <v>0.49152542372881358</v>
      </c>
      <c r="BG95" s="44">
        <f t="shared" si="63"/>
        <v>0.96153846153846156</v>
      </c>
      <c r="BH95" s="79">
        <f t="shared" si="63"/>
        <v>0.66666666666666674</v>
      </c>
    </row>
    <row r="96" spans="1:60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59"/>
        <v>0.96784565916398713</v>
      </c>
      <c r="AN96" s="44">
        <f t="shared" si="60"/>
        <v>0.1751412429378531</v>
      </c>
      <c r="AO96" s="44">
        <f t="shared" si="61"/>
        <v>7.6923076923076927E-2</v>
      </c>
      <c r="AP96" s="79">
        <f t="shared" si="62"/>
        <v>0.88888888888888884</v>
      </c>
      <c r="AR96" s="4"/>
      <c r="BD96" s="39" t="s">
        <v>15</v>
      </c>
      <c r="BE96" s="43">
        <f t="shared" si="63"/>
        <v>3.2154340836012874E-2</v>
      </c>
      <c r="BF96" s="44">
        <f t="shared" si="63"/>
        <v>0.82485875706214684</v>
      </c>
      <c r="BG96" s="44">
        <f t="shared" si="63"/>
        <v>0.92307692307692313</v>
      </c>
      <c r="BH96" s="79">
        <f t="shared" si="63"/>
        <v>0.11111111111111116</v>
      </c>
    </row>
    <row r="97" spans="1:60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59"/>
        <v>0.74598070739549838</v>
      </c>
      <c r="AN97" s="44">
        <f t="shared" si="60"/>
        <v>0.29378531073446329</v>
      </c>
      <c r="AO97" s="44">
        <f t="shared" si="61"/>
        <v>0.57692307692307687</v>
      </c>
      <c r="AP97" s="79">
        <f t="shared" si="62"/>
        <v>0</v>
      </c>
      <c r="AR97" s="4"/>
      <c r="BD97" s="39" t="s">
        <v>16</v>
      </c>
      <c r="BE97" s="43">
        <f t="shared" si="63"/>
        <v>0.25401929260450162</v>
      </c>
      <c r="BF97" s="44">
        <f t="shared" si="63"/>
        <v>0.70621468926553677</v>
      </c>
      <c r="BG97" s="44">
        <f t="shared" si="63"/>
        <v>0.42307692307692313</v>
      </c>
      <c r="BH97" s="79">
        <f t="shared" si="63"/>
        <v>1</v>
      </c>
    </row>
    <row r="98" spans="1:60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59"/>
        <v>0.96141479099678462</v>
      </c>
      <c r="AN98" s="44">
        <f t="shared" si="60"/>
        <v>0.1751412429378531</v>
      </c>
      <c r="AO98" s="44">
        <f t="shared" si="61"/>
        <v>3.8461538461538464E-2</v>
      </c>
      <c r="AP98" s="79">
        <f t="shared" si="62"/>
        <v>1</v>
      </c>
      <c r="AR98" s="4"/>
      <c r="BD98" s="39" t="s">
        <v>17</v>
      </c>
      <c r="BE98" s="43">
        <f t="shared" si="63"/>
        <v>3.8585209003215382E-2</v>
      </c>
      <c r="BF98" s="44">
        <f t="shared" si="63"/>
        <v>0.82485875706214684</v>
      </c>
      <c r="BG98" s="44">
        <f t="shared" si="63"/>
        <v>0.96153846153846156</v>
      </c>
      <c r="BH98" s="79">
        <f t="shared" si="63"/>
        <v>0</v>
      </c>
    </row>
    <row r="99" spans="1:60" ht="15.75" thickBot="1" x14ac:dyDescent="0.3">
      <c r="A99" s="53" t="s">
        <v>71</v>
      </c>
      <c r="B99" s="58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0">
        <f t="shared" si="59"/>
        <v>0.98713826366559487</v>
      </c>
      <c r="AN99" s="81">
        <f t="shared" si="60"/>
        <v>0.5423728813559322</v>
      </c>
      <c r="AO99" s="81">
        <f t="shared" si="61"/>
        <v>0.30769230769230771</v>
      </c>
      <c r="AP99" s="82">
        <f t="shared" si="62"/>
        <v>0.88888888888888884</v>
      </c>
      <c r="AR99" s="4"/>
      <c r="BD99" s="53" t="s">
        <v>21</v>
      </c>
      <c r="BE99" s="80">
        <f t="shared" si="63"/>
        <v>1.2861736334405127E-2</v>
      </c>
      <c r="BF99" s="81">
        <f t="shared" si="63"/>
        <v>0.4576271186440678</v>
      </c>
      <c r="BG99" s="81">
        <f t="shared" si="63"/>
        <v>0.69230769230769229</v>
      </c>
      <c r="BH99" s="82">
        <f t="shared" si="63"/>
        <v>0.11111111111111116</v>
      </c>
    </row>
  </sheetData>
  <mergeCells count="30">
    <mergeCell ref="DF3:DG3"/>
    <mergeCell ref="DE1:DI1"/>
    <mergeCell ref="CL3:CM3"/>
    <mergeCell ref="T1:AD1"/>
    <mergeCell ref="AF1:DC1"/>
    <mergeCell ref="BK3:BN3"/>
    <mergeCell ref="BO3:BR3"/>
    <mergeCell ref="CF3:CG3"/>
    <mergeCell ref="CH3:CI3"/>
    <mergeCell ref="CJ3:CK3"/>
    <mergeCell ref="BV3:BY3"/>
    <mergeCell ref="BZ3:CC3"/>
    <mergeCell ref="CF5:CG5"/>
    <mergeCell ref="CH5:CI5"/>
    <mergeCell ref="CJ5:CK5"/>
    <mergeCell ref="CL5:CM5"/>
    <mergeCell ref="BJ21:BJ22"/>
    <mergeCell ref="BK21:BN21"/>
    <mergeCell ref="BO21:BR21"/>
    <mergeCell ref="CJ23:CK23"/>
    <mergeCell ref="CL23:CM23"/>
    <mergeCell ref="CF25:CG25"/>
    <mergeCell ref="CH25:CI25"/>
    <mergeCell ref="CJ25:CK25"/>
    <mergeCell ref="CL25:CM25"/>
    <mergeCell ref="BJ39:BJ40"/>
    <mergeCell ref="BK39:BN39"/>
    <mergeCell ref="BO39:BR39"/>
    <mergeCell ref="CF23:CG23"/>
    <mergeCell ref="CH23:CI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2026-04-03T12:08:17Z</dcterms:modified>
</cp:coreProperties>
</file>